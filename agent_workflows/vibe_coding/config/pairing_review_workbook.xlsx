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llisonmyerspigg/GitHub/rc_sfa-rc-3-wenas-meta/agent_workflows/vibe_coding/config/"/>
    </mc:Choice>
  </mc:AlternateContent>
  <xr:revisionPtr revIDLastSave="0" documentId="13_ncr:1_{95EDEA35-383F-474D-A15C-AA529A753551}" xr6:coauthVersionLast="47" xr6:coauthVersionMax="47" xr10:uidLastSave="{00000000-0000-0000-0000-000000000000}"/>
  <bookViews>
    <workbookView xWindow="-7760" yWindow="-28580" windowWidth="61440" windowHeight="24460" activeTab="1" xr2:uid="{00000000-000D-0000-FFFF-FFFF00000000}"/>
  </bookViews>
  <sheets>
    <sheet name="Instructions" sheetId="1" r:id="rId1"/>
    <sheet name="Pairing Review" sheetId="2" r:id="rId2"/>
    <sheet name="Study Summary" sheetId="3" r:id="rId3"/>
    <sheet name="Controlled Values" sheetId="4" r:id="rId4"/>
  </sheets>
  <calcPr calcId="0"/>
</workbook>
</file>

<file path=xl/sharedStrings.xml><?xml version="1.0" encoding="utf-8"?>
<sst xmlns="http://schemas.openxmlformats.org/spreadsheetml/2006/main" count="929" uniqueCount="347">
  <si>
    <t>Watershed Pairing Review</t>
  </si>
  <si>
    <t>Step</t>
  </si>
  <si>
    <t>Instruction</t>
  </si>
  <si>
    <t>Review one Study_ID block at a time, beginning with priority 1 and 2 rows.</t>
  </si>
  <si>
    <t>Use Burned_Site_Name and Reference_Site_Name to connect generic pair labels to watershed names.</t>
  </si>
  <si>
    <t>Consult the original paper or extraction source before approving a shared-reference, composite-reference, or multi-fire row.</t>
  </si>
  <si>
    <t>Complete the yellow fields: Fire_ID_Final, Pairing_Type_Final, Include, Decision_Status, Evidence_Source, Reviewer, Review_Date, and Decision_Notes.</t>
  </si>
  <si>
    <t>Use Decision_Status = approved only when Include is TRUE and the final fire and pairing type are complete.</t>
  </si>
  <si>
    <t>Use Decision_Status = excluded only when Include is FALSE and Decision_Notes explains why.</t>
  </si>
  <si>
    <t>Save the workbook, set review_action to import, and rerun this script.</t>
  </si>
  <si>
    <t>Review data/audit/pairing_review_validation.csv. Set allow_partial_import to FALSE before final export.</t>
  </si>
  <si>
    <t>Review_Priority</t>
  </si>
  <si>
    <t>Study_ID</t>
  </si>
  <si>
    <t>Comparison_ID</t>
  </si>
  <si>
    <t>Pair_Burn</t>
  </si>
  <si>
    <t>Burned_Site_Name</t>
  </si>
  <si>
    <t>Pair_Unburn</t>
  </si>
  <si>
    <t>Reference_Site_Name</t>
  </si>
  <si>
    <t>candidate_pair_id</t>
  </si>
  <si>
    <t>Fire_name_metadata</t>
  </si>
  <si>
    <t>Fire_year_metadata</t>
  </si>
  <si>
    <t>Study_design_metadata</t>
  </si>
  <si>
    <t>analytes_available</t>
  </si>
  <si>
    <t>first_calendar_year</t>
  </si>
  <si>
    <t>last_calendar_year</t>
  </si>
  <si>
    <t>n_calendar_years</t>
  </si>
  <si>
    <t>shared_control_id</t>
  </si>
  <si>
    <t>n_pairs_sharing_reference</t>
  </si>
  <si>
    <t>shared_reference</t>
  </si>
  <si>
    <t>multi_fire_metadata</t>
  </si>
  <si>
    <t>pairing_source</t>
  </si>
  <si>
    <t>pairing_type_suggested</t>
  </si>
  <si>
    <t>Fire_ID_Final</t>
  </si>
  <si>
    <t>Pairing_Type_Final</t>
  </si>
  <si>
    <t>Include</t>
  </si>
  <si>
    <t>Decision_Status</t>
  </si>
  <si>
    <t>Evidence_Source</t>
  </si>
  <si>
    <t>Reviewer</t>
  </si>
  <si>
    <t>Review_Date</t>
  </si>
  <si>
    <t>Decision_Notes</t>
  </si>
  <si>
    <t>1 - shared reference + multi-fire</t>
  </si>
  <si>
    <t>Rhea et al. 2021</t>
  </si>
  <si>
    <t>Rhea_et_al_2021_C2</t>
  </si>
  <si>
    <t>Site_2</t>
  </si>
  <si>
    <t>B2</t>
  </si>
  <si>
    <t>Control_2_3</t>
  </si>
  <si>
    <t>U3</t>
  </si>
  <si>
    <t>Rhea et al. 2021 | Rhea_et_al_2021_C2 | Site_2 | Control_2_3</t>
  </si>
  <si>
    <t>Hayman Fire_High Park Fire</t>
  </si>
  <si>
    <t>2002_2012</t>
  </si>
  <si>
    <t>Control/Reference vs. Impact</t>
  </si>
  <si>
    <t>DOC;NO3</t>
  </si>
  <si>
    <t>Rhea et al. 2021 | Control_2_3</t>
  </si>
  <si>
    <t>effect_sizes_yearly.csv</t>
  </si>
  <si>
    <t>shared_reference_candidate</t>
  </si>
  <si>
    <t>pending_author_review</t>
  </si>
  <si>
    <t>Rhea_et_al_2021_C3</t>
  </si>
  <si>
    <t>Site_3</t>
  </si>
  <si>
    <t>B3</t>
  </si>
  <si>
    <t>Rhea et al. 2021 | Rhea_et_al_2021_C3 | Site_3 | Control_2_3</t>
  </si>
  <si>
    <t>Uzun et al. 2020</t>
  </si>
  <si>
    <t>Uzun_et_al_2020_C1</t>
  </si>
  <si>
    <t>Site_1</t>
  </si>
  <si>
    <t>Rocky Fire First Rainy Season Initial Flush; Rocky Fire First Rainy Season Subsequent Flush; Rocky Fire Second Rainy Season</t>
  </si>
  <si>
    <t>Control_1_2</t>
  </si>
  <si>
    <t>Reference First Rainy Season; Reference Second Rainy Season; Reference Subsequent Flush</t>
  </si>
  <si>
    <t>Uzun et al. 2020 | Uzun_et_al_2020_C1 | Site_1 | Control_1_2</t>
  </si>
  <si>
    <t>Rocky Fire_Wragg Fire</t>
  </si>
  <si>
    <t>2015</t>
  </si>
  <si>
    <t>Uzun et al. 2020 | Control_1_2</t>
  </si>
  <si>
    <t>Uzun_et_al_2020_C2</t>
  </si>
  <si>
    <t>Wragg Fire First Rainy Season Initial Flush; Wragg Fire First Rainy Season Subsequent Flush; Wragg Fire Second Rainy Season</t>
  </si>
  <si>
    <t>Uzun et al. 2020 | Uzun_et_al_2020_C2 | Site_2 | Control_1_2</t>
  </si>
  <si>
    <t>Writer et al. 2014</t>
  </si>
  <si>
    <t>Writer_et_al_2014_C1</t>
  </si>
  <si>
    <t>PNF</t>
  </si>
  <si>
    <t>PBR</t>
  </si>
  <si>
    <t>Writer et al. 2014 | Writer_et_al_2014_C1 | Site_1 | Control_1_2</t>
  </si>
  <si>
    <t>Hewlett Gulch_High Park fire</t>
  </si>
  <si>
    <t>2012_2012</t>
  </si>
  <si>
    <t>Writer et al. 2014 | Control_1_2</t>
  </si>
  <si>
    <t>Writer_et_al_2014_C2</t>
  </si>
  <si>
    <t>PSF</t>
  </si>
  <si>
    <t>Writer et al. 2014 | Writer_et_al_2014_C2 | Site_2 | Control_1_2</t>
  </si>
  <si>
    <t>2 - multi-fire</t>
  </si>
  <si>
    <t>Hickenbottom et al. 2023</t>
  </si>
  <si>
    <t>Hickenbottom_et_al_2023_C1</t>
  </si>
  <si>
    <t>Trout_Creek</t>
  </si>
  <si>
    <t>Control_1</t>
  </si>
  <si>
    <t>Cold_Creek</t>
  </si>
  <si>
    <t>Hickenbottom et al. 2023 | Hickenbottom_et_al_2023_C1 | Site_1 | Control_1</t>
  </si>
  <si>
    <t>Caldor Fire_Mosquito Fire</t>
  </si>
  <si>
    <t>2021_2022</t>
  </si>
  <si>
    <t>Hickenbottom et al. 2023 | Control_1</t>
  </si>
  <si>
    <t>one_to_one_candidate</t>
  </si>
  <si>
    <t>Hickenbottom_et_al_2023_C2</t>
  </si>
  <si>
    <t>Middle_Fork_American</t>
  </si>
  <si>
    <t>Control_2</t>
  </si>
  <si>
    <t>North_Fork_American</t>
  </si>
  <si>
    <t>Hickenbottom et al. 2023 | Hickenbottom_et_al_2023_C2 | Site_2 | Control_2</t>
  </si>
  <si>
    <t>Hickenbottom et al. 2023 | Control_2</t>
  </si>
  <si>
    <t>Mast &amp; Clow; 2008</t>
  </si>
  <si>
    <t>Mast_Clow_2008_C1</t>
  </si>
  <si>
    <t>Coal</t>
  </si>
  <si>
    <t>Pinchot</t>
  </si>
  <si>
    <t>Mast &amp; Clow; 2008 | Mast_Clow_2008_C1 | Site_1 | Control_1</t>
  </si>
  <si>
    <t>Rampage Fire_Others in Glacier NP</t>
  </si>
  <si>
    <t>2003</t>
  </si>
  <si>
    <t>Mast &amp; Clow; 2008 | Control_1</t>
  </si>
  <si>
    <t>Rhea_et_al_2021_C1</t>
  </si>
  <si>
    <t>B1</t>
  </si>
  <si>
    <t>Rhea et al. 2021 | Rhea_et_al_2021_C1 | Site_1 | Control_1</t>
  </si>
  <si>
    <t>Rhea et al. 2021 | Control_1</t>
  </si>
  <si>
    <t>2 - shared reference</t>
  </si>
  <si>
    <t>Coombs &amp; Melack; 2013</t>
  </si>
  <si>
    <t>Coombs_Melack_2013_C1</t>
  </si>
  <si>
    <t>San Onofre</t>
  </si>
  <si>
    <t>Control_1_2_3</t>
  </si>
  <si>
    <t>Rattlesnake</t>
  </si>
  <si>
    <t>Coombs &amp; Melack; 2013 | Coombs_Melack_2013_C1 | Site_1 | Control_1_2_3</t>
  </si>
  <si>
    <t>Gaviota Fire</t>
  </si>
  <si>
    <t>2004</t>
  </si>
  <si>
    <t>NO3</t>
  </si>
  <si>
    <t>Coombs &amp; Melack; 2013 | Control_1_2_3</t>
  </si>
  <si>
    <t>Coombs_Melack_2013_C2</t>
  </si>
  <si>
    <t>Gaviota</t>
  </si>
  <si>
    <t>Coombs &amp; Melack; 2013 | Coombs_Melack_2013_C2 | Site_2 | Control_1_2_3</t>
  </si>
  <si>
    <t>Coombs_Melack_2013_C3</t>
  </si>
  <si>
    <t>Arroyo Hondo</t>
  </si>
  <si>
    <t>Coombs &amp; Melack; 2013 | Coombs_Melack_2013_C3 | Site_3 | Control_1_2_3</t>
  </si>
  <si>
    <t>Crandall et al. 2021</t>
  </si>
  <si>
    <t>Crandall_et_al_2021_C3</t>
  </si>
  <si>
    <t>Spanish Fork Lower</t>
  </si>
  <si>
    <t>Control_3_4</t>
  </si>
  <si>
    <t>Provo River</t>
  </si>
  <si>
    <t>Crandall et al. 2021 | Crandall_et_al_2021_C3 | Site_3 | Control_3_4</t>
  </si>
  <si>
    <t>Pole Creek Fire Complex</t>
  </si>
  <si>
    <t>2018</t>
  </si>
  <si>
    <t>Crandall et al. 2021 | Control_3_4</t>
  </si>
  <si>
    <t>Crandall_et_al_2021_C4</t>
  </si>
  <si>
    <t>Site_4</t>
  </si>
  <si>
    <t>Spanish Fork Upper</t>
  </si>
  <si>
    <t>Crandall et al. 2021 | Crandall_et_al_2021_C4 | Site_4 | Control_3_4</t>
  </si>
  <si>
    <t>Gluns &amp; Toews; 1989</t>
  </si>
  <si>
    <t>Gluns_Toews_1989_C1</t>
  </si>
  <si>
    <t>East Fork Kootenai</t>
  </si>
  <si>
    <t>West Fork Kootenai</t>
  </si>
  <si>
    <t>Gluns &amp; Toews; 1989 | Gluns_Toews_1989_C1 | Site_1 | Control_1_2</t>
  </si>
  <si>
    <t>Matt fire</t>
  </si>
  <si>
    <t>1985</t>
  </si>
  <si>
    <t>Gluns &amp; Toews; 1989 | Control_1_2</t>
  </si>
  <si>
    <t>Gluns_Toews_1989_C2</t>
  </si>
  <si>
    <t>Middle Fork Kootenai</t>
  </si>
  <si>
    <t>Gluns &amp; Toews; 1989 | Gluns_Toews_1989_C2 | Site_2 | Control_1_2</t>
  </si>
  <si>
    <t>Hauer &amp; Spencer 1998</t>
  </si>
  <si>
    <t>Hauer_Spencer_1998_C3</t>
  </si>
  <si>
    <t>Akokala_Creek</t>
  </si>
  <si>
    <t>Control_3_4_5</t>
  </si>
  <si>
    <t>Logging_Creek</t>
  </si>
  <si>
    <t>Hauer &amp; Spencer 1998 | Hauer_Spencer_1998_C3 | Site_3 | Control_3_4_5</t>
  </si>
  <si>
    <t>Red Bench Fire</t>
  </si>
  <si>
    <t>1988</t>
  </si>
  <si>
    <t>Hauer &amp; Spencer 1998 | Control_3_4_5</t>
  </si>
  <si>
    <t>Hauer_Spencer_1998_C4</t>
  </si>
  <si>
    <t>Bowman_Creek</t>
  </si>
  <si>
    <t>Hauer &amp; Spencer 1998 | Hauer_Spencer_1998_C4 | Site_4 | Control_3_4_5</t>
  </si>
  <si>
    <t>Hauer_Spencer_1998_C5</t>
  </si>
  <si>
    <t>Site_5</t>
  </si>
  <si>
    <t>Quartz_Creek</t>
  </si>
  <si>
    <t>Hauer &amp; Spencer 1998 | Hauer_Spencer_1998_C5 | Site_5 | Control_3_4_5</t>
  </si>
  <si>
    <t>Murphy et al. 2018</t>
  </si>
  <si>
    <t>Murphy_et_al_2018_C1</t>
  </si>
  <si>
    <t>DS1</t>
  </si>
  <si>
    <t>US1</t>
  </si>
  <si>
    <t>Murphy et al. 2018 | Murphy_et_al_2018_C1 | Site_1 | Control_1_2_3</t>
  </si>
  <si>
    <t>Fourmile Canyon Fire</t>
  </si>
  <si>
    <t>2010</t>
  </si>
  <si>
    <t>Murphy et al. 2018 | Control_1_2_3</t>
  </si>
  <si>
    <t>Murphy_et_al_2018_C2</t>
  </si>
  <si>
    <t>DS2</t>
  </si>
  <si>
    <t>Murphy et al. 2018 | Murphy_et_al_2018_C2 | Site_2 | Control_1_2_3</t>
  </si>
  <si>
    <t>Murphy_et_al_2018_C3</t>
  </si>
  <si>
    <t>DS3</t>
  </si>
  <si>
    <t>Murphy et al. 2018 | Murphy_et_al_2018_C3 | Site_3 | Control_1_2_3</t>
  </si>
  <si>
    <t>Oliver et al. 2012</t>
  </si>
  <si>
    <t>Oliver_et_al_2012_C1</t>
  </si>
  <si>
    <t>Oliver et al. 2012 | Oliver_et_al_2012_C1 | Site_1 | Control_1_2_3</t>
  </si>
  <si>
    <t>Angora Fire</t>
  </si>
  <si>
    <t>2007</t>
  </si>
  <si>
    <t>Oliver et al. 2012 | Control_1_2_3</t>
  </si>
  <si>
    <t>Oliver_et_al_2012_C2</t>
  </si>
  <si>
    <t>Oliver et al. 2012 | Oliver_et_al_2012_C2 | Site_2 | Control_1_2_3</t>
  </si>
  <si>
    <t>Oliver_et_al_2012_C3</t>
  </si>
  <si>
    <t>Oliver et al. 2012 | Oliver_et_al_2012_C3 | Site_3 | Control_1_2_3</t>
  </si>
  <si>
    <t>Wagner et al. 2015</t>
  </si>
  <si>
    <t>Wagner_et_al_2015_C1</t>
  </si>
  <si>
    <t>Wagner et al. 2015 | Wagner_et_al_2015_C1 | Site_1 | Control_1_2</t>
  </si>
  <si>
    <t>High Park Fire</t>
  </si>
  <si>
    <t>2012</t>
  </si>
  <si>
    <t>DOC</t>
  </si>
  <si>
    <t>Wagner et al. 2015 | Control_1_2</t>
  </si>
  <si>
    <t>Wagner_et_al_2015_C2</t>
  </si>
  <si>
    <t>Wagner et al. 2015 | Wagner_et_al_2015_C2 | Site_2 | Control_1_2</t>
  </si>
  <si>
    <t>3 - routine confirmation</t>
  </si>
  <si>
    <t>Burd et al 2018</t>
  </si>
  <si>
    <t>Burd_et_al_2018_C1</t>
  </si>
  <si>
    <t>Notawohka Creek</t>
  </si>
  <si>
    <t>Scotty Creek</t>
  </si>
  <si>
    <t>Burd et al 2018 | Burd_et_al_2018_C1 | Site_1 | Control_1</t>
  </si>
  <si>
    <t>Northwest Territories Fire</t>
  </si>
  <si>
    <t>2013</t>
  </si>
  <si>
    <t>Burd et al 2018 | Control_1</t>
  </si>
  <si>
    <t>Crandall_et_al_2021_C1</t>
  </si>
  <si>
    <t>Benjamin Slough</t>
  </si>
  <si>
    <t>Crandall et al. 2021 | Crandall_et_al_2021_C1 | Site_1 | Control_1</t>
  </si>
  <si>
    <t>Crandall et al. 2021 | Control_1</t>
  </si>
  <si>
    <t>Crandall_et_al_2021_C2</t>
  </si>
  <si>
    <t>Payson</t>
  </si>
  <si>
    <t>Crandall et al. 2021 | Crandall_et_al_2021_C2 | Site_2 | Control_2</t>
  </si>
  <si>
    <t>Crandall et al. 2021 | Control_2</t>
  </si>
  <si>
    <t>Gerla &amp; Galloway; 1998</t>
  </si>
  <si>
    <t>Gerla_Galloway_1998_C1</t>
  </si>
  <si>
    <t>Jones Creek</t>
  </si>
  <si>
    <t>Crow Creek</t>
  </si>
  <si>
    <t>Gerla &amp; Galloway; 1998 | Gerla_Galloway_1998_C1 | Site_1 | Control_1</t>
  </si>
  <si>
    <t>Clover-Mist Wildfire</t>
  </si>
  <si>
    <t>Gerla &amp; Galloway; 1998 | Control_1</t>
  </si>
  <si>
    <t>Hauer_Spencer_1998_C1</t>
  </si>
  <si>
    <t>Red_Bench_Creek</t>
  </si>
  <si>
    <t>Wally_Creek</t>
  </si>
  <si>
    <t>Hauer &amp; Spencer 1998 | Hauer_Spencer_1998_C1 | Site_1 | Control_1</t>
  </si>
  <si>
    <t>Hauer &amp; Spencer 1998 | Control_1</t>
  </si>
  <si>
    <t>Hauer_Spencer_1998_C2</t>
  </si>
  <si>
    <t>Red_Meadow_Creek</t>
  </si>
  <si>
    <t>Coal_Creek</t>
  </si>
  <si>
    <t>Hauer &amp; Spencer 1998 | Hauer_Spencer_1998_C2 | Site_2 | Control_2</t>
  </si>
  <si>
    <t>Hauer &amp; Spencer 1998 | Control_2</t>
  </si>
  <si>
    <t>Neary &amp; Currier; 1982</t>
  </si>
  <si>
    <t>Neary_Currier_1982_C1</t>
  </si>
  <si>
    <t>Wash Branch</t>
  </si>
  <si>
    <t>Crane Creek</t>
  </si>
  <si>
    <t>Neary &amp; Currier; 1982 | Neary_Currier_1982_C1 | Site_1 | Control_1</t>
  </si>
  <si>
    <t>Jumping Branch Wildfire</t>
  </si>
  <si>
    <t>1978</t>
  </si>
  <si>
    <t>Neary &amp; Currier; 1982 | Control_1</t>
  </si>
  <si>
    <t>Tiedemann; 1973</t>
  </si>
  <si>
    <t>Tiedemann_1973_C1</t>
  </si>
  <si>
    <t>Camas Creek</t>
  </si>
  <si>
    <t>Grade Creek</t>
  </si>
  <si>
    <t>Tiedemann; 1973 | Tiedemann_1973_C1 | Site_1 | Control_1</t>
  </si>
  <si>
    <t>Safety Harbor Fire</t>
  </si>
  <si>
    <t>1970</t>
  </si>
  <si>
    <t>Tiedemann; 1973 | Control_1</t>
  </si>
  <si>
    <t>n_candidate_pairs</t>
  </si>
  <si>
    <t>n_shared_reference_pairs</t>
  </si>
  <si>
    <t>burned_sites</t>
  </si>
  <si>
    <t>reference_sites</t>
  </si>
  <si>
    <t>B1; B2; B3</t>
  </si>
  <si>
    <t>U1; U2; U3</t>
  </si>
  <si>
    <t>Rocky Fire First Rainy Season Initial Flush; Rocky Fire First Rainy Season Subsequent Flush; Rocky Fire Second Rainy Season; Wragg Fire First Rainy Season Initial Flush; Wragg Fire First Rainy Season Subsequent Flush; Wragg Fire Second Rainy Season</t>
  </si>
  <si>
    <t>PNF; PSF</t>
  </si>
  <si>
    <t>Middle_Fork_American; Trout_Creek</t>
  </si>
  <si>
    <t>Cold_Creek; North_Fork_American</t>
  </si>
  <si>
    <t>Arroyo Hondo; Gaviota; San Onofre</t>
  </si>
  <si>
    <t>Akokala_Creek; Bowman_Creek; Quartz_Creek; Red_Bench_Creek; Red_Meadow_Creek</t>
  </si>
  <si>
    <t>Coal_Creek; Logging_Creek; Wally_Creek</t>
  </si>
  <si>
    <t>DS1; DS2; DS3</t>
  </si>
  <si>
    <t>Site_2; Site_3; Site_4</t>
  </si>
  <si>
    <t>Benjamin Slough; Payson; Spanish Fork Lower; Spanish Fork Upper</t>
  </si>
  <si>
    <t>Dry Creek; Mill Race; Mitsubishi Race; Hobble Creek Lower; Hobble Creek Upper; Provo River</t>
  </si>
  <si>
    <t>East Fork Kootenai; Middle Fork Kootenai</t>
  </si>
  <si>
    <t>Field</t>
  </si>
  <si>
    <t>Allowed_Value</t>
  </si>
  <si>
    <t>designated_one_to_one</t>
  </si>
  <si>
    <t>designated_shared_reference</t>
  </si>
  <si>
    <t>composite_reference</t>
  </si>
  <si>
    <t>regional_reference</t>
  </si>
  <si>
    <t>automatic_cross_product</t>
  </si>
  <si>
    <t>unclear</t>
  </si>
  <si>
    <t>TRUE</t>
  </si>
  <si>
    <t>FALSE</t>
  </si>
  <si>
    <t>approved</t>
  </si>
  <si>
    <t>excluded</t>
  </si>
  <si>
    <t>needs_source_check</t>
  </si>
  <si>
    <t>needs_team_decision</t>
  </si>
  <si>
    <t>JSC</t>
  </si>
  <si>
    <t xml:space="preserve">Figure 1 in the paper shows a map of both fire perimeters. Red dots are the sampling locations (1 for the Rocky Fire, and 1 for the Wragg fire). The reference site is just beyond the Wragg fire and is used to compare between both burned sites. (Rocky, Wragg). Figure 2 shows the data. </t>
  </si>
  <si>
    <t xml:space="preserve">This paper investigates 2 different wildfires each with 1 sampling site. Each burn is compared to the same reference site. </t>
  </si>
  <si>
    <t xml:space="preserve">Figure 1 in the paper shows a map of the 2 wildfires that burned in 2012 (Hewlett and High Park Fire). Site PNF and PSF are both burned sites. PNF is within the Hewlett Fire and PSF is within the High Park burn perimeter. You might think that PNF is associated with the Hewlett fire and that PSF is associated with the High Park fire but the text says: "Onlya small area of the Hewlett Gulch Wildfire was upstream of thesampling locations, and thus potential effects on water qualityare primarily attributed to the High Park Wildfire". Should we just pull the burn characteristics for the High Park fire. Both burned sites are comparing to the reference PBR. </t>
  </si>
  <si>
    <t xml:space="preserve">This paper investigates 2 burned sampling locations (PSF, PNF) and compares to the same reference site (PBR). </t>
  </si>
  <si>
    <t xml:space="preserve">Figure 1 in the paper shows a map of both fire perimeters and sampling locations. Middle Fork is the burned site associated with the Mosquito Fire that is compared to the North Fork site (unbunred). Trout Creek is the burned watershed assoicated with the Caldor Fire that is compared to Cold Creek (Unburned). </t>
  </si>
  <si>
    <t xml:space="preserve">This paper investigates 2 separate wildfires, each with a burned and unbunred 1:1 comparison. </t>
  </si>
  <si>
    <t xml:space="preserve">Figure 2 in the paper shows a map of the fire perimeter and the sampling sites. Coal Creek is the burned watershed associated with the Rampage Fire and compared to Pinchot Creek (Unburned).  </t>
  </si>
  <si>
    <t xml:space="preserve">We chose to only investigate Coal Creek (burned) compared to Pinchot Creek (unburned) that was associated with the Rampage Fire because it was a 1:1 comparison and control/reference study design. </t>
  </si>
  <si>
    <t>There are multiple burned watersheds to a single reference site. This paper has 2 fires (High Park and Hayman Fire). B2 and B3 go to U3 (Hayman Fire). B1 go to U1 and U2 (High Park)</t>
  </si>
  <si>
    <t xml:space="preserve">Figure 1 in the paper shows a map of the burned and unburned watersheds in the 2 different fires. The High Park Fire has B1 and compares it to U1 and U2. The Hayman Fire has B2 and B3 which are compared to U3. In the text, it looks like they are comparing burned vs. unburned and aggregating rather than 1:1. We should make sure the design makes sense and that we compare to the proper sites. </t>
  </si>
  <si>
    <t>Figure 1 in the paper shows a map of the burned and unburned watersheds in the 2 different fires. The High Park Fire has B1 and compares it to U1 and U2. The Hayman Fire has B2 and B3 which are compared to U3.</t>
  </si>
  <si>
    <t>Figure 1 in the paper shows a map of the Gaviota Fire perimeter and the 3 burned watersheds (San Onofre, Gaviota, and Arroyo Hondo). All of these sites are compared to the unburned site (Rattlesnake)</t>
  </si>
  <si>
    <t>This study investigates 3 burned watersheds associated with the Gaviota Fire. All 3 watersheds (San Onofre, Gaviota, and Arroyo Hondo) are compared to one reference (Rattlesnake).</t>
  </si>
  <si>
    <t xml:space="preserve">Figure 1 in the paper shows a map of the fire perimeter with all the sampling locations. Spanish Fork Lower (burned) is compared to Provo (unburned). Spanish Fork Upper (Burned) is compared to Provo (unburned). Benjamin Slough (Burned) is compared to Hobble Creek Lower (Unburned). Payson (Burned) is compared to Misubishi, Mill Race, and Dry Creek (Unburned) </t>
  </si>
  <si>
    <t xml:space="preserve">Figure 1 in the paper shows a map of the burn perimeter and the sampling locations. East Fork Kootenai and Middle Fork Kootenai are the burned watersheds associated with the Matt fire and each are compared to the West Fork Kootenai. </t>
  </si>
  <si>
    <t xml:space="preserve">This study investigates 2 burned watersheds associated with the Matt Fire. Both watersheds ( East Fork and Middle Fork) are compared to a single reference (West Fork). </t>
  </si>
  <si>
    <t xml:space="preserve">Figure 1 in the paper shows a map of the burn perimeter and the sampling locations. There are 3 burned watersheds (Akakola, Bowman, and Quartz) that are all associated with the Red Bench Fire. All 3 of these burned watersheds are compared to 1 reference site (Logging). Then the Red Bench Creek (Burned) is compared to Wally Creek (Unburned). Then there is Red Meadow Creek (Burned) which is compared to Coal Creek (Unburned). </t>
  </si>
  <si>
    <t xml:space="preserve">This study investigates 5 burned watersheds associated with the Red Bench Fire. Akakola, Bowman, and Quartz (burned) are compare to Logging Creek (Unburned). Red Bench Creek (burned) is compared with Wally Creek (unburned). And Red Meadow Creek (burned) is compared to Coal Creek (unburned). </t>
  </si>
  <si>
    <t xml:space="preserve">Figure 1 in the paper shows a map of the burn perimeter and the sampling locations. There are 3 burned watersheds (DS1, DS2, and DS3) that are all associated with the Fourmile Canyon Fire. All 3 of these burned watersheds are compared to 1 reference site (US1). </t>
  </si>
  <si>
    <t>This study investigates 3 burned watersheds associated with the Fourmile Canyon Fire. DS1, DS2, and DS3 (burned) all compare to US1 (Unburned).]</t>
  </si>
  <si>
    <t xml:space="preserve">Figure 1 in the paper shows a map of the burn perimeter and the sampling locations. There are 3 burned watersheds (Site 2, Site 3, and Site 4) that are all associated with the Angora Fire. All 3 of these sites are compared to 1 reference site (Site 1). </t>
  </si>
  <si>
    <t xml:space="preserve">Figure 1 in the paper shows a map of the burn perimeter and the sampling locations. There are 2 burned watersheds (PNF, PSF) that are both associated with the High Park Fire. Both of these sites are compared to 1 reference site (PBR). </t>
  </si>
  <si>
    <t xml:space="preserve">Scotty Creek (SC) and Notawohka Creek (NW) drain catchments located in the discontinuous permafrost zone of Canada’s western boreal forest (Fig. 1). The SC outlet at the Liard Highway (61◦24 W, 121◦26 N) has a 134 km2 catchment that has not been affected by any major fires in the last 60 years. The NW outlet at the Mackenzie Highway (61◦08 W, 120◦17 N) has a 321 km2 catchment that was &gt;90 % burned in 2013. FIgure 4: Seasonal variation in catchment run-off and stream water chemistry measured at the outlets of Scotty Creek catchment and the
recently burned Notawohka Creek catchment, </t>
  </si>
  <si>
    <t xml:space="preserve">This study investigates 1 burned watershed associated with the Northwest Territories fire that burned 90% of Notawohka Creek. Scotty Creek is the reference watershed. This study is located in Canada so I don’t think it is included because the lack of MTBS data. </t>
  </si>
  <si>
    <t xml:space="preserve">This study investigates 1 burned watershed associated with the Clovermist fire (Jones Creek). Jones Creek is compared to Crow Creek (unburned). </t>
  </si>
  <si>
    <t xml:space="preserve">Figure 1 in the paper shows a map of the burn perimeter and the sampling locations. Jones Creek (burned) associated with the Clovermist fire is compared to Crow Creek (unburned). Figure 4 shows the comparison between the two watersheds. </t>
  </si>
  <si>
    <t xml:space="preserve">Table 1 in the paper lists the watersheds that were associated with the Jumping Branch Fire. Wash branch was the burned watershed that had no fertilization treatments that is compared to Crane Creek which is listed as the control watershed. </t>
  </si>
  <si>
    <t xml:space="preserve">Figure 1 in this paper has a time series of nitrate concentration of a burned watershed vs. an unburned watershed. Similarly to the Neary &amp; Currier paper, some watersheds has a fertilier treatment. We only used the sites that were not treated with fertilizer. Camas Creek (Burned) is compared to Grade Creek (reference). </t>
  </si>
  <si>
    <t xml:space="preserve">This study investigates 2 burned watersheds associated with the Safety Harbor Fire. Only Camas creek (Burned) and Grade Creek (Unburned) were used because they did not receive fertilizer treatment. We extracted data from Figure 1. This is an old paper and is before MTBS data so this paper would not be included in the final data frame due to the lack of MTBS data. </t>
  </si>
  <si>
    <t xml:space="preserve">The PDF is in my Zotero. This study investigates 4 burned watersheds associated with the Jumping Branch Fire. Only Wash Branch was used becuse it did not receive a ferilization treatment like the other sites in this study. Wash Branch is compared to Crane Creek which is listed as the control watershed in Table 1. We extracted data from Figure 3. This is an old paper and is before MTBS data so this paper would not be included in the final data frame due to the lack of MTBS data. </t>
  </si>
  <si>
    <t>Hayman_Fire_2002</t>
  </si>
  <si>
    <t>Rocky_Fire_2015</t>
  </si>
  <si>
    <t>Wragg_Fire_2015</t>
  </si>
  <si>
    <t>High_Park_Fire_2012</t>
  </si>
  <si>
    <t>Caldor_Fire_2021</t>
  </si>
  <si>
    <t>Mosquito_Fire_2022</t>
  </si>
  <si>
    <t>Rampage_Fire_2003</t>
  </si>
  <si>
    <t>Gaviota_Fire_2004</t>
  </si>
  <si>
    <t>Pole_Creek_Fire_Complex_2018</t>
  </si>
  <si>
    <t>Matt_Fire_1985</t>
  </si>
  <si>
    <t xml:space="preserve">Red_Bench_Fire_1988 </t>
  </si>
  <si>
    <t>Fourmile_Canyon_Fire_2010</t>
  </si>
  <si>
    <t>Angora_Fire_2007</t>
  </si>
  <si>
    <t>Northwest_Territories_Fire_2013</t>
  </si>
  <si>
    <t>Clover_Mist_Wildfire_1988</t>
  </si>
  <si>
    <t>Jumping_Branch_Wildfire_1978</t>
  </si>
  <si>
    <t>Safety_Harbor_Fire_1970</t>
  </si>
  <si>
    <t>There are multiple burned watersheds to a single reference site. This paper has 2 fires (High Park and Hayman Fire). B2 and B3 go to U3 (Hayman Fire). B1 go to U1 and U2 (High Park). U3 is designated as Control_2_3 because it is used to compare between Site 2 (B2) and Site 3 (B3)</t>
  </si>
  <si>
    <t>This paper investigates 2 burned sampling locations (PSF, PNF) and compares to the same reference site (PBR). 
Yes, relate to high park fire (AMP)
Changed from Hewlett Fire to High Park Fire 2012 (JSC - 9/15/2026).</t>
  </si>
  <si>
    <t>There are multiple burned watersheds to a single reference site. This paper has 2 fires (High Park and Hayman Fire). B2 and B3 go to U3 (Hayman Fire). B1 go to U1 and U2 (High Park).
I am confused about their study design too. This is also missing the Hayman fire comparisons as a line in paring worksheet here. Looking at table 1, can you pick the one reference thats closest in size to the burn here? e.g. U1 is smaller than U2, so use that to comapre to B1. For B2 and B3, they share the same reference so easier to denote the burned / unburned pair. (AMP)
B1 is 3.25 km and U1 is 7.02. So lets use U1 to compare to B1 as a 1:1 . Then B2-&gt;U3. B3-&gt;U3 (JSC 9/15/2026).</t>
  </si>
  <si>
    <t>U1</t>
  </si>
  <si>
    <t>This study investigates 4 burned watersheds associated with the Pole Creek Fire Complex and 6 unburned watersheds. The burn unburned pairs can get a little convuluted and we need to discuss what is best. The paper aggregated burned vs. unburned in the rest of the statistical analyses (Fig 3-8).
(3) Spanish Fork Lower (burned) compared to (10) Provo River (unburned). 1:1. JSC 9/15/2026</t>
  </si>
  <si>
    <t>This study investigates 4 burned watersheds associated with the Pole Creek Fire Complex and 6 unburned watersheds. The burn unburned pairs can get a little convuluted and we need to discuss what is best. The paper aggregated burned vs. unburned in the rest of the statistical analyses (Fig 3-8).
from the methods : These locations included a variety of watershed sizes, burn coverages (0 to 90%), ecosystem types, and land uses (Table 1). Four sampling locations had burned areas in their watersheds, while six locations had no direct megafire influence. For one burned and one unburned watershed (sites 3 and 4 on the Spanish Fork River and sites 7 and 8 on Hobble Creek), we collected nested samples (i.e. longitudinally connected) that were upstream and downstream of major human infrastructure in the valley bottom (Fig 1 and S1 Fig). 
This is a bit tricker since the urban/non urban influences. I think we still follow same approach, makes the methods easier to write too (ie. most downstream on the same stream) and the closest pair by size . that should give use 3 burned with unique references: 1 Benjamin Slough to 7 Hobble Creek Lower ; 2 Payson to 9 Mill Race; 3 Spanish Fork Lower to 10 Provo River.
Removed from analysis as we are only comparing 3 sites as listed above (JSC 9/15/2026)</t>
  </si>
  <si>
    <t>This study investigates 3 burned sites along Angora Creek that are associated with the Angora Fire. Site 1 was selected to represent the initial conditions of Angora Creek. Site 2 was within the burn area, Site 3 was located just below the burned area and site 4 was located downstream of the burn. We need to decide if they are "different" sites since they are all on the same creek. 
Pick the most downstream site and remove the others. (AMP)
Removed Site 2 from the analysis (JSC 9/15/2026)</t>
  </si>
  <si>
    <t>This study investigates 3 burned sites along Angora Creek that are associated with the Angora Fire. Site 1 was selected to represent the initial conditions of Angora Creek. Site 2 was within the burn area, Site 3 was located just below the burned area and site 4 was located downstream of the burn. We need to decide if they are "different" sites since they are all on the same creek. 
Pick the most downstream site and remove the others. (AMP)
Removed Site 23from the analysis based on AMP comment. (JSC 9/15/2026)</t>
  </si>
  <si>
    <t>This study investigates 3 burned sites along Angora Creek that are associated with the Angora Fire. Site 1 was selected to represent the initial conditions of Angora Creek. Site 2 was within the burn area, Site 3 was located just below the burned area and site 4 was located downstream of the burn. We need to decide if they are "different" sites since they are all on the same creek. 
Pick the most downstream site and remove the others. (AMP)
Site 4 (burned) compared to Site 1 (Unburned) (JSC 9/15/2026)</t>
  </si>
  <si>
    <t>This study investigates 2 burned watersheds associated with the High Park Fire. Both burned watersheds (PNF, and PSF) compare to a single reference site (PBR). These are the same sites as from Writer et al. I think because Writer has both DOC and NO3 compared to this one that is just DOC, we should keep Writer and remove the redudancy of this paper.   
I think this paper has higher temporal resolution than Writer? (AMP) If not, do they over lap in time? If so, then ok to drop. if not, retain (AMP)
Removing this paper from the final analysis due to redundancy with Writer et al. 2014 paper (JSC 9/15/2026)</t>
  </si>
  <si>
    <t>Hobble Creek Lower</t>
  </si>
  <si>
    <t>This study investigates 4 burned watersheds associated with the Pole Creek Fire Complex and 6 unburned watersheds. The burn unburned pairs can get a little convuluted and we need to discuss what is best. The paper aggregated burned vs. unburned in the rest of the statistical analyses (Fig 3-8). Mulitple reference sites to 1 burn.
I am OK with retaining the burned and unburned comparisions stated in the Figure 1 Evidence source. Why is the Spanish Fork not showing up as a line on this study?? (AMP)
(1) Benjamin Slough (Burned) -&gt; (7) Hobble Creek Lower (Unburned). 1:1 comparison (JSC 9/15/2026)</t>
  </si>
  <si>
    <t>Mill Race</t>
  </si>
  <si>
    <t>This study investigates 4 burned watersheds associated with the Pole Creek Fire Complex and 6 unburned watersheds. The burn unburned pairs can get a little convuluted and we need to discuss what is best. The paper aggregated burned vs. unburned in the rest of the statistical analyses (Fig 3-8). Mulitple reference sites to 1 burn.
I am OK with retaining the burned and unburned comparisions stated in the Figure 1 Evidence source. (AMP)
(2) Payson (Burned) -&gt; (9) Mill Race (Unburned). 1:1 comparison (JSC 9/15/2026)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</si>
</sst>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rgb="FF000000"/>
      <name val="Calibri"/>
      <family val="2"/>
      <scheme val="minor"/>
    </font>
    <font>
      <b/>
      <sz val="16"/>
      <color rgb="FFFFFFFF"/>
      <name val="Calibri"/>
      <family val="2"/>
    </font>
    <font>
      <sz val="11"/>
      <color rgb="FF000000"/>
      <name val="Calibri"/>
      <family val="2"/>
    </font>
    <font>
      <b/>
      <sz val="11"/>
      <color rgb="FF9C0006"/>
      <name val="Calibri"/>
      <family val="2"/>
    </font>
    <font>
      <sz val="11"/>
      <color rgb="FF7F6000"/>
      <name val="Calibri"/>
      <family val="2"/>
    </font>
    <font>
      <sz val="11"/>
      <color theme="1"/>
      <name val="Calibri"/>
      <family val="2"/>
    </font>
  </fonts>
  <fills count="9">
    <fill>
      <patternFill patternType="none"/>
    </fill>
    <fill>
      <patternFill patternType="gray125"/>
    </fill>
    <fill>
      <patternFill patternType="solid">
        <fgColor rgb="FF1F4E78"/>
      </patternFill>
    </fill>
    <fill>
      <patternFill patternType="solid">
        <fgColor rgb="FFF4CCCC"/>
      </patternFill>
    </fill>
    <fill>
      <patternFill patternType="solid">
        <fgColor rgb="FFFCE5CD"/>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rgb="FFD6B656"/>
      </left>
      <right style="thin">
        <color rgb="FFD6B656"/>
      </right>
      <top style="thin">
        <color rgb="FFD6B656"/>
      </top>
      <bottom style="thin">
        <color rgb="FFD6B656"/>
      </bottom>
      <diagonal/>
    </border>
  </borders>
  <cellStyleXfs count="1">
    <xf numFmtId="0" fontId="0" fillId="0" borderId="0"/>
  </cellStyleXfs>
  <cellXfs count="14">
    <xf numFmtId="0" fontId="0" fillId="0" borderId="0" xfId="0"/>
    <xf numFmtId="0" fontId="2" fillId="0" borderId="0" xfId="0" applyFont="1" applyAlignment="1">
      <alignment vertical="top" wrapText="1"/>
    </xf>
    <xf numFmtId="0" fontId="3" fillId="3" borderId="0" xfId="0" applyFont="1" applyFill="1" applyAlignment="1">
      <alignment vertical="top" wrapText="1"/>
    </xf>
    <xf numFmtId="0" fontId="4" fillId="4" borderId="0" xfId="0" applyFont="1" applyFill="1" applyAlignment="1">
      <alignment vertical="top" wrapText="1"/>
    </xf>
    <xf numFmtId="0" fontId="3" fillId="5" borderId="0" xfId="0" applyFont="1" applyFill="1" applyAlignment="1">
      <alignment vertical="top" wrapText="1"/>
    </xf>
    <xf numFmtId="0" fontId="0" fillId="5" borderId="0" xfId="0" applyFill="1"/>
    <xf numFmtId="0" fontId="2" fillId="6"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7" borderId="0" xfId="0" applyFont="1" applyFill="1" applyAlignment="1">
      <alignment vertical="top" wrapText="1"/>
    </xf>
    <xf numFmtId="0" fontId="5" fillId="7" borderId="0" xfId="0" applyFont="1" applyFill="1" applyAlignment="1">
      <alignment vertical="top" wrapText="1"/>
    </xf>
    <xf numFmtId="0" fontId="2" fillId="8" borderId="0" xfId="0" applyFont="1" applyFill="1" applyAlignment="1">
      <alignment vertical="top" wrapText="1"/>
    </xf>
    <xf numFmtId="0" fontId="0" fillId="8" borderId="0" xfId="0" applyFill="1"/>
    <xf numFmtId="0" fontId="2" fillId="6" borderId="0" xfId="0" applyFont="1" applyFill="1" applyAlignment="1">
      <alignment vertical="top" wrapText="1"/>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3:B11" totalsRowShown="0">
  <autoFilter ref="A3:B11" xr:uid="{00000000-0009-0000-0100-000003000000}"/>
  <tableColumns count="2">
    <tableColumn id="1" xr3:uid="{00000000-0010-0000-0000-000001000000}" name="Step"/>
    <tableColumn id="2" xr3:uid="{00000000-0010-0000-0000-000002000000}" name="Instru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AC37" totalsRowShown="0">
  <autoFilter ref="A1:AC37" xr:uid="{00000000-0009-0000-0100-000004000000}"/>
  <tableColumns count="29">
    <tableColumn id="1" xr3:uid="{00000000-0010-0000-0100-000001000000}" name="Review_Priority"/>
    <tableColumn id="2" xr3:uid="{00000000-0010-0000-0100-000002000000}" name="Study_ID"/>
    <tableColumn id="3" xr3:uid="{00000000-0010-0000-0100-000003000000}" name="Comparison_ID"/>
    <tableColumn id="4" xr3:uid="{00000000-0010-0000-0100-000004000000}" name="Pair_Burn"/>
    <tableColumn id="5" xr3:uid="{00000000-0010-0000-0100-000005000000}" name="Burned_Site_Name"/>
    <tableColumn id="6" xr3:uid="{00000000-0010-0000-0100-000006000000}" name="Pair_Unburn"/>
    <tableColumn id="7" xr3:uid="{00000000-0010-0000-0100-000007000000}" name="Reference_Site_Name"/>
    <tableColumn id="8" xr3:uid="{00000000-0010-0000-0100-000008000000}" name="candidate_pair_id"/>
    <tableColumn id="9" xr3:uid="{00000000-0010-0000-0100-000009000000}" name="Fire_name_metadata"/>
    <tableColumn id="10" xr3:uid="{00000000-0010-0000-0100-00000A000000}" name="Fire_year_metadata"/>
    <tableColumn id="11" xr3:uid="{00000000-0010-0000-0100-00000B000000}" name="Study_design_metadata"/>
    <tableColumn id="12" xr3:uid="{00000000-0010-0000-0100-00000C000000}" name="analytes_available"/>
    <tableColumn id="13" xr3:uid="{00000000-0010-0000-0100-00000D000000}" name="first_calendar_year"/>
    <tableColumn id="14" xr3:uid="{00000000-0010-0000-0100-00000E000000}" name="last_calendar_year"/>
    <tableColumn id="15" xr3:uid="{00000000-0010-0000-0100-00000F000000}" name="n_calendar_years"/>
    <tableColumn id="16" xr3:uid="{00000000-0010-0000-0100-000010000000}" name="shared_control_id"/>
    <tableColumn id="17" xr3:uid="{00000000-0010-0000-0100-000011000000}" name="n_pairs_sharing_reference"/>
    <tableColumn id="18" xr3:uid="{00000000-0010-0000-0100-000012000000}" name="shared_reference"/>
    <tableColumn id="19" xr3:uid="{00000000-0010-0000-0100-000013000000}" name="multi_fire_metadata"/>
    <tableColumn id="20" xr3:uid="{00000000-0010-0000-0100-000014000000}" name="pairing_source"/>
    <tableColumn id="21" xr3:uid="{00000000-0010-0000-0100-000015000000}" name="pairing_type_suggested"/>
    <tableColumn id="22" xr3:uid="{00000000-0010-0000-0100-000016000000}" name="Fire_ID_Final"/>
    <tableColumn id="23" xr3:uid="{00000000-0010-0000-0100-000017000000}" name="Pairing_Type_Final"/>
    <tableColumn id="24" xr3:uid="{00000000-0010-0000-0100-000018000000}" name="Include"/>
    <tableColumn id="25" xr3:uid="{00000000-0010-0000-0100-000019000000}" name="Decision_Status"/>
    <tableColumn id="26" xr3:uid="{00000000-0010-0000-0100-00001A000000}" name="Evidence_Source"/>
    <tableColumn id="27" xr3:uid="{00000000-0010-0000-0100-00001B000000}" name="Reviewer"/>
    <tableColumn id="28" xr3:uid="{00000000-0010-0000-0100-00001C000000}" name="Review_Date"/>
    <tableColumn id="29" xr3:uid="{00000000-0010-0000-0100-00001D000000}" name="Decision_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I17" totalsRowShown="0">
  <autoFilter ref="A1:I17" xr:uid="{00000000-0009-0000-0100-000005000000}"/>
  <tableColumns count="9">
    <tableColumn id="1" xr3:uid="{00000000-0010-0000-0200-000001000000}" name="Study_ID"/>
    <tableColumn id="2" xr3:uid="{00000000-0010-0000-0200-000002000000}" name="Fire_name_metadata"/>
    <tableColumn id="3" xr3:uid="{00000000-0010-0000-0200-000003000000}" name="Fire_year_metadata"/>
    <tableColumn id="4" xr3:uid="{00000000-0010-0000-0200-000004000000}" name="n_candidate_pairs"/>
    <tableColumn id="5" xr3:uid="{00000000-0010-0000-0200-000005000000}" name="n_shared_reference_pairs"/>
    <tableColumn id="6" xr3:uid="{00000000-0010-0000-0200-000006000000}" name="multi_fire_metadata"/>
    <tableColumn id="7" xr3:uid="{00000000-0010-0000-0200-000007000000}" name="analytes_available"/>
    <tableColumn id="8" xr3:uid="{00000000-0010-0000-0200-000008000000}" name="burned_sites"/>
    <tableColumn id="9" xr3:uid="{00000000-0010-0000-0200-000009000000}" name="reference_si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B14" totalsRowShown="0">
  <autoFilter ref="A1:B14" xr:uid="{00000000-0009-0000-0100-000006000000}"/>
  <tableColumns count="2">
    <tableColumn id="1" xr3:uid="{00000000-0010-0000-0300-000001000000}" name="Field"/>
    <tableColumn id="2" xr3:uid="{00000000-0010-0000-0300-000002000000}" name="Allowed_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workbookViewId="0">
      <selection sqref="A1:B1"/>
    </sheetView>
  </sheetViews>
  <sheetFormatPr baseColWidth="10" defaultRowHeight="15" x14ac:dyDescent="0.2"/>
  <cols>
    <col min="1" max="1" width="8.6640625" customWidth="1"/>
    <col min="2" max="2" width="110.6640625" customWidth="1"/>
  </cols>
  <sheetData>
    <row r="1" spans="1:2" ht="26" customHeight="1" x14ac:dyDescent="0.2">
      <c r="A1" s="13" t="s">
        <v>0</v>
      </c>
      <c r="B1" s="13"/>
    </row>
    <row r="3" spans="1:2" x14ac:dyDescent="0.2">
      <c r="A3" t="s">
        <v>1</v>
      </c>
      <c r="B3" t="s">
        <v>2</v>
      </c>
    </row>
    <row r="4" spans="1:2" ht="16" x14ac:dyDescent="0.2">
      <c r="A4">
        <v>1</v>
      </c>
      <c r="B4" s="1" t="s">
        <v>3</v>
      </c>
    </row>
    <row r="5" spans="1:2" ht="16" x14ac:dyDescent="0.2">
      <c r="A5">
        <v>2</v>
      </c>
      <c r="B5" s="1" t="s">
        <v>4</v>
      </c>
    </row>
    <row r="6" spans="1:2" ht="16" x14ac:dyDescent="0.2">
      <c r="A6">
        <v>3</v>
      </c>
      <c r="B6" s="1" t="s">
        <v>5</v>
      </c>
    </row>
    <row r="7" spans="1:2" ht="32" x14ac:dyDescent="0.2">
      <c r="A7">
        <v>4</v>
      </c>
      <c r="B7" s="1" t="s">
        <v>6</v>
      </c>
    </row>
    <row r="8" spans="1:2" ht="16" x14ac:dyDescent="0.2">
      <c r="A8">
        <v>5</v>
      </c>
      <c r="B8" s="1" t="s">
        <v>7</v>
      </c>
    </row>
    <row r="9" spans="1:2" ht="16" x14ac:dyDescent="0.2">
      <c r="A9">
        <v>6</v>
      </c>
      <c r="B9" s="1" t="s">
        <v>8</v>
      </c>
    </row>
    <row r="10" spans="1:2" ht="16" x14ac:dyDescent="0.2">
      <c r="A10">
        <v>7</v>
      </c>
      <c r="B10" s="1" t="s">
        <v>9</v>
      </c>
    </row>
    <row r="11" spans="1:2" ht="16" x14ac:dyDescent="0.2">
      <c r="A11">
        <v>8</v>
      </c>
      <c r="B11" s="1" t="s">
        <v>10</v>
      </c>
    </row>
  </sheetData>
  <mergeCells count="1">
    <mergeCell ref="A1:B1"/>
  </mergeCells>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7"/>
  <sheetViews>
    <sheetView showGridLines="0" tabSelected="1" zoomScale="120" zoomScaleNormal="120" workbookViewId="0">
      <pane xSplit="5" ySplit="1" topLeftCell="Q31" activePane="bottomRight" state="frozen"/>
      <selection pane="topRight"/>
      <selection pane="bottomLeft"/>
      <selection pane="bottomRight" activeCell="Y41" sqref="Y41"/>
    </sheetView>
  </sheetViews>
  <sheetFormatPr baseColWidth="10" defaultRowHeight="15" x14ac:dyDescent="0.2"/>
  <cols>
    <col min="1" max="1" width="30.6640625" customWidth="1"/>
    <col min="2" max="2" width="28.6640625" customWidth="1"/>
    <col min="3" max="3" width="30.6640625" customWidth="1"/>
    <col min="4" max="4" width="15.6640625" customWidth="1"/>
    <col min="5" max="5" width="28.6640625" customWidth="1"/>
    <col min="6" max="6" width="15.6640625" customWidth="1"/>
    <col min="7" max="7" width="32.6640625" customWidth="1"/>
    <col min="8" max="8" width="45.6640625" customWidth="1"/>
    <col min="9" max="9" width="30.6640625" customWidth="1"/>
    <col min="10" max="25" width="15.6640625" customWidth="1"/>
    <col min="26" max="26" width="35.6640625" customWidth="1"/>
    <col min="27" max="28" width="15.6640625" customWidth="1"/>
    <col min="29" max="29" width="55.6640625" customWidth="1"/>
  </cols>
  <sheetData>
    <row r="1" spans="1:32" x14ac:dyDescent="0.2">
      <c r="A1" t="s">
        <v>11</v>
      </c>
      <c r="B1" t="s">
        <v>12</v>
      </c>
      <c r="C1" t="s">
        <v>13</v>
      </c>
      <c r="D1" t="s">
        <v>14</v>
      </c>
      <c r="E1" t="s">
        <v>15</v>
      </c>
      <c r="F1" t="s">
        <v>16</v>
      </c>
      <c r="G1" t="s">
        <v>17</v>
      </c>
      <c r="H1" t="s">
        <v>18</v>
      </c>
      <c r="I1" t="s">
        <v>19</v>
      </c>
      <c r="J1" t="s">
        <v>20</v>
      </c>
      <c r="K1" t="s">
        <v>21</v>
      </c>
      <c r="L1" t="s">
        <v>22</v>
      </c>
      <c r="M1" t="s">
        <v>23</v>
      </c>
      <c r="N1" t="s">
        <v>24</v>
      </c>
      <c r="O1" t="s">
        <v>25</v>
      </c>
      <c r="P1" t="s">
        <v>26</v>
      </c>
      <c r="Q1" t="s">
        <v>27</v>
      </c>
      <c r="R1" t="s">
        <v>28</v>
      </c>
      <c r="S1" t="s">
        <v>29</v>
      </c>
      <c r="T1" t="s">
        <v>30</v>
      </c>
      <c r="U1" t="s">
        <v>31</v>
      </c>
      <c r="V1" t="s">
        <v>32</v>
      </c>
      <c r="W1" t="s">
        <v>33</v>
      </c>
      <c r="X1" t="s">
        <v>34</v>
      </c>
      <c r="Y1" t="s">
        <v>35</v>
      </c>
      <c r="Z1" t="s">
        <v>36</v>
      </c>
      <c r="AA1" t="s">
        <v>37</v>
      </c>
      <c r="AB1" t="s">
        <v>38</v>
      </c>
      <c r="AC1" t="s">
        <v>39</v>
      </c>
    </row>
    <row r="2" spans="1:32" s="5" customFormat="1" ht="80" x14ac:dyDescent="0.2">
      <c r="A2" s="4" t="s">
        <v>40</v>
      </c>
      <c r="B2" s="9" t="s">
        <v>41</v>
      </c>
      <c r="C2" s="9" t="s">
        <v>42</v>
      </c>
      <c r="D2" s="9" t="s">
        <v>43</v>
      </c>
      <c r="E2" s="9" t="s">
        <v>44</v>
      </c>
      <c r="F2" s="9" t="s">
        <v>45</v>
      </c>
      <c r="G2" s="9" t="s">
        <v>46</v>
      </c>
      <c r="H2" s="9" t="s">
        <v>47</v>
      </c>
      <c r="I2" s="9" t="s">
        <v>48</v>
      </c>
      <c r="J2" s="9" t="s">
        <v>49</v>
      </c>
      <c r="K2" s="9" t="s">
        <v>50</v>
      </c>
      <c r="L2" s="9" t="s">
        <v>51</v>
      </c>
      <c r="M2" s="9">
        <v>2017</v>
      </c>
      <c r="N2" s="9">
        <v>2017</v>
      </c>
      <c r="O2" s="9">
        <v>1</v>
      </c>
      <c r="P2" s="9" t="s">
        <v>52</v>
      </c>
      <c r="Q2" s="9">
        <v>2</v>
      </c>
      <c r="R2" s="9" t="b">
        <v>1</v>
      </c>
      <c r="S2" s="9" t="b">
        <v>1</v>
      </c>
      <c r="T2" s="9" t="s">
        <v>53</v>
      </c>
      <c r="U2" s="9" t="s">
        <v>54</v>
      </c>
      <c r="V2" s="6" t="s">
        <v>316</v>
      </c>
      <c r="W2" s="6" t="s">
        <v>274</v>
      </c>
      <c r="X2" s="6" t="b">
        <v>1</v>
      </c>
      <c r="Y2" s="6" t="s">
        <v>281</v>
      </c>
      <c r="Z2" s="6" t="s">
        <v>296</v>
      </c>
      <c r="AA2" s="6" t="s">
        <v>285</v>
      </c>
      <c r="AB2" s="7">
        <v>46265</v>
      </c>
      <c r="AC2" s="6" t="s">
        <v>333</v>
      </c>
      <c r="AD2" s="11"/>
      <c r="AE2"/>
      <c r="AF2"/>
    </row>
    <row r="3" spans="1:32" s="5" customFormat="1" ht="80" x14ac:dyDescent="0.2">
      <c r="A3" s="4" t="s">
        <v>40</v>
      </c>
      <c r="B3" s="10" t="s">
        <v>41</v>
      </c>
      <c r="C3" s="10" t="s">
        <v>56</v>
      </c>
      <c r="D3" s="10" t="s">
        <v>57</v>
      </c>
      <c r="E3" s="10" t="s">
        <v>58</v>
      </c>
      <c r="F3" s="10" t="s">
        <v>45</v>
      </c>
      <c r="G3" s="10" t="s">
        <v>46</v>
      </c>
      <c r="H3" s="10" t="s">
        <v>59</v>
      </c>
      <c r="I3" s="10" t="s">
        <v>48</v>
      </c>
      <c r="J3" s="10" t="s">
        <v>49</v>
      </c>
      <c r="K3" s="10" t="s">
        <v>50</v>
      </c>
      <c r="L3" s="10" t="s">
        <v>51</v>
      </c>
      <c r="M3" s="10">
        <v>2017</v>
      </c>
      <c r="N3" s="10">
        <v>2017</v>
      </c>
      <c r="O3" s="10">
        <v>1</v>
      </c>
      <c r="P3" s="10" t="s">
        <v>52</v>
      </c>
      <c r="Q3" s="10">
        <v>2</v>
      </c>
      <c r="R3" s="10" t="b">
        <v>1</v>
      </c>
      <c r="S3" s="10" t="b">
        <v>1</v>
      </c>
      <c r="T3" s="10" t="s">
        <v>53</v>
      </c>
      <c r="U3" s="10" t="s">
        <v>54</v>
      </c>
      <c r="V3" s="6" t="s">
        <v>316</v>
      </c>
      <c r="W3" s="6" t="s">
        <v>274</v>
      </c>
      <c r="X3" s="6" t="b">
        <v>1</v>
      </c>
      <c r="Y3" s="6" t="s">
        <v>281</v>
      </c>
      <c r="Z3" s="6" t="s">
        <v>296</v>
      </c>
      <c r="AA3" s="6" t="s">
        <v>285</v>
      </c>
      <c r="AB3" s="7">
        <v>46265</v>
      </c>
      <c r="AC3" s="6" t="s">
        <v>294</v>
      </c>
      <c r="AD3" s="11"/>
      <c r="AE3"/>
      <c r="AF3"/>
    </row>
    <row r="4" spans="1:32" ht="112" x14ac:dyDescent="0.2">
      <c r="A4" s="2" t="s">
        <v>40</v>
      </c>
      <c r="B4" s="8" t="s">
        <v>60</v>
      </c>
      <c r="C4" s="1" t="s">
        <v>61</v>
      </c>
      <c r="D4" s="1" t="s">
        <v>62</v>
      </c>
      <c r="E4" s="1" t="s">
        <v>63</v>
      </c>
      <c r="F4" s="1" t="s">
        <v>64</v>
      </c>
      <c r="G4" s="1" t="s">
        <v>65</v>
      </c>
      <c r="H4" s="1" t="s">
        <v>66</v>
      </c>
      <c r="I4" s="1" t="s">
        <v>67</v>
      </c>
      <c r="J4" s="1" t="s">
        <v>68</v>
      </c>
      <c r="K4" s="1" t="s">
        <v>50</v>
      </c>
      <c r="L4" s="1" t="s">
        <v>51</v>
      </c>
      <c r="M4" s="1">
        <v>2016</v>
      </c>
      <c r="N4" s="1">
        <v>2017</v>
      </c>
      <c r="O4" s="1">
        <v>2</v>
      </c>
      <c r="P4" s="1" t="s">
        <v>69</v>
      </c>
      <c r="Q4" s="1">
        <v>2</v>
      </c>
      <c r="R4" s="1" t="b">
        <v>1</v>
      </c>
      <c r="S4" s="1" t="b">
        <v>1</v>
      </c>
      <c r="T4" s="1" t="s">
        <v>53</v>
      </c>
      <c r="U4" s="1" t="s">
        <v>54</v>
      </c>
      <c r="V4" s="6" t="s">
        <v>317</v>
      </c>
      <c r="W4" s="6" t="s">
        <v>274</v>
      </c>
      <c r="X4" s="6" t="b">
        <v>1</v>
      </c>
      <c r="Y4" s="6" t="s">
        <v>281</v>
      </c>
      <c r="Z4" s="6" t="s">
        <v>286</v>
      </c>
      <c r="AA4" s="6" t="s">
        <v>285</v>
      </c>
      <c r="AB4" s="7">
        <v>46265</v>
      </c>
      <c r="AC4" s="6" t="s">
        <v>287</v>
      </c>
    </row>
    <row r="5" spans="1:32" ht="112" x14ac:dyDescent="0.2">
      <c r="A5" s="2" t="s">
        <v>40</v>
      </c>
      <c r="B5" s="1" t="s">
        <v>60</v>
      </c>
      <c r="C5" s="1" t="s">
        <v>70</v>
      </c>
      <c r="D5" s="1" t="s">
        <v>43</v>
      </c>
      <c r="E5" s="1" t="s">
        <v>71</v>
      </c>
      <c r="F5" s="1" t="s">
        <v>64</v>
      </c>
      <c r="G5" s="1" t="s">
        <v>65</v>
      </c>
      <c r="H5" s="1" t="s">
        <v>72</v>
      </c>
      <c r="I5" s="1" t="s">
        <v>67</v>
      </c>
      <c r="J5" s="1" t="s">
        <v>68</v>
      </c>
      <c r="K5" s="1" t="s">
        <v>50</v>
      </c>
      <c r="L5" s="1" t="s">
        <v>51</v>
      </c>
      <c r="M5" s="1">
        <v>2016</v>
      </c>
      <c r="N5" s="1">
        <v>2017</v>
      </c>
      <c r="O5" s="1">
        <v>2</v>
      </c>
      <c r="P5" s="1" t="s">
        <v>69</v>
      </c>
      <c r="Q5" s="1">
        <v>2</v>
      </c>
      <c r="R5" s="1" t="b">
        <v>1</v>
      </c>
      <c r="S5" s="1" t="b">
        <v>1</v>
      </c>
      <c r="T5" s="1" t="s">
        <v>53</v>
      </c>
      <c r="U5" s="1" t="s">
        <v>54</v>
      </c>
      <c r="V5" s="6" t="s">
        <v>318</v>
      </c>
      <c r="W5" s="6" t="s">
        <v>274</v>
      </c>
      <c r="X5" s="6" t="b">
        <v>1</v>
      </c>
      <c r="Y5" s="6" t="s">
        <v>281</v>
      </c>
      <c r="Z5" s="6" t="s">
        <v>286</v>
      </c>
      <c r="AA5" s="6" t="s">
        <v>285</v>
      </c>
      <c r="AB5" s="7">
        <v>46265</v>
      </c>
      <c r="AC5" s="6" t="s">
        <v>287</v>
      </c>
    </row>
    <row r="6" spans="1:32" ht="256" x14ac:dyDescent="0.2">
      <c r="A6" s="2" t="s">
        <v>40</v>
      </c>
      <c r="B6" s="1" t="s">
        <v>73</v>
      </c>
      <c r="C6" s="1" t="s">
        <v>74</v>
      </c>
      <c r="D6" s="1" t="s">
        <v>62</v>
      </c>
      <c r="E6" s="1" t="s">
        <v>75</v>
      </c>
      <c r="F6" s="1" t="s">
        <v>64</v>
      </c>
      <c r="G6" s="1" t="s">
        <v>76</v>
      </c>
      <c r="H6" s="1" t="s">
        <v>77</v>
      </c>
      <c r="I6" s="1" t="s">
        <v>78</v>
      </c>
      <c r="J6" s="1" t="s">
        <v>79</v>
      </c>
      <c r="K6" s="1" t="s">
        <v>50</v>
      </c>
      <c r="L6" s="1" t="s">
        <v>51</v>
      </c>
      <c r="M6" s="1">
        <v>2012</v>
      </c>
      <c r="N6" s="1">
        <v>2013</v>
      </c>
      <c r="O6" s="1">
        <v>2</v>
      </c>
      <c r="P6" s="1" t="s">
        <v>80</v>
      </c>
      <c r="Q6" s="1">
        <v>2</v>
      </c>
      <c r="R6" s="1" t="b">
        <v>1</v>
      </c>
      <c r="S6" s="1" t="b">
        <v>1</v>
      </c>
      <c r="T6" s="1" t="s">
        <v>53</v>
      </c>
      <c r="U6" s="1" t="s">
        <v>54</v>
      </c>
      <c r="V6" s="6" t="s">
        <v>319</v>
      </c>
      <c r="W6" s="6" t="s">
        <v>274</v>
      </c>
      <c r="X6" s="6" t="b">
        <v>1</v>
      </c>
      <c r="Y6" s="6" t="s">
        <v>281</v>
      </c>
      <c r="Z6" s="6" t="s">
        <v>288</v>
      </c>
      <c r="AA6" s="6" t="s">
        <v>285</v>
      </c>
      <c r="AB6" s="7">
        <v>46265</v>
      </c>
      <c r="AC6" s="6" t="s">
        <v>334</v>
      </c>
    </row>
    <row r="7" spans="1:32" ht="256" x14ac:dyDescent="0.2">
      <c r="A7" s="2" t="s">
        <v>40</v>
      </c>
      <c r="B7" s="1" t="s">
        <v>73</v>
      </c>
      <c r="C7" s="1" t="s">
        <v>81</v>
      </c>
      <c r="D7" s="1" t="s">
        <v>43</v>
      </c>
      <c r="E7" s="1" t="s">
        <v>82</v>
      </c>
      <c r="F7" s="1" t="s">
        <v>64</v>
      </c>
      <c r="G7" s="1" t="s">
        <v>76</v>
      </c>
      <c r="H7" s="1" t="s">
        <v>83</v>
      </c>
      <c r="I7" s="1" t="s">
        <v>78</v>
      </c>
      <c r="J7" s="1" t="s">
        <v>79</v>
      </c>
      <c r="K7" s="1" t="s">
        <v>50</v>
      </c>
      <c r="L7" s="1" t="s">
        <v>51</v>
      </c>
      <c r="M7" s="1">
        <v>2012</v>
      </c>
      <c r="N7" s="1">
        <v>2013</v>
      </c>
      <c r="O7" s="1">
        <v>2</v>
      </c>
      <c r="P7" s="1" t="s">
        <v>80</v>
      </c>
      <c r="Q7" s="1">
        <v>2</v>
      </c>
      <c r="R7" s="1" t="b">
        <v>1</v>
      </c>
      <c r="S7" s="1" t="b">
        <v>1</v>
      </c>
      <c r="T7" s="1" t="s">
        <v>53</v>
      </c>
      <c r="U7" s="1" t="s">
        <v>54</v>
      </c>
      <c r="V7" s="6" t="s">
        <v>319</v>
      </c>
      <c r="W7" s="6" t="s">
        <v>274</v>
      </c>
      <c r="X7" s="6" t="b">
        <v>1</v>
      </c>
      <c r="Y7" s="6" t="s">
        <v>281</v>
      </c>
      <c r="Z7" s="6" t="s">
        <v>288</v>
      </c>
      <c r="AA7" s="6" t="s">
        <v>285</v>
      </c>
      <c r="AB7" s="7">
        <v>46265</v>
      </c>
      <c r="AC7" s="6" t="s">
        <v>289</v>
      </c>
    </row>
    <row r="8" spans="1:32" ht="128" x14ac:dyDescent="0.2">
      <c r="A8" s="3" t="s">
        <v>84</v>
      </c>
      <c r="B8" s="1" t="s">
        <v>85</v>
      </c>
      <c r="C8" s="1" t="s">
        <v>86</v>
      </c>
      <c r="D8" s="1" t="s">
        <v>62</v>
      </c>
      <c r="E8" s="1" t="s">
        <v>87</v>
      </c>
      <c r="F8" s="1" t="s">
        <v>88</v>
      </c>
      <c r="G8" s="1" t="s">
        <v>89</v>
      </c>
      <c r="H8" s="1" t="s">
        <v>90</v>
      </c>
      <c r="I8" s="1" t="s">
        <v>91</v>
      </c>
      <c r="J8" s="1" t="s">
        <v>92</v>
      </c>
      <c r="K8" s="1" t="s">
        <v>50</v>
      </c>
      <c r="L8" s="1" t="s">
        <v>51</v>
      </c>
      <c r="M8" s="1">
        <v>2022</v>
      </c>
      <c r="N8" s="1">
        <v>2022</v>
      </c>
      <c r="O8" s="1">
        <v>1</v>
      </c>
      <c r="P8" s="1" t="s">
        <v>93</v>
      </c>
      <c r="Q8" s="1">
        <v>1</v>
      </c>
      <c r="R8" s="1" t="b">
        <v>0</v>
      </c>
      <c r="S8" s="1" t="b">
        <v>1</v>
      </c>
      <c r="T8" s="1" t="s">
        <v>53</v>
      </c>
      <c r="U8" s="1" t="s">
        <v>94</v>
      </c>
      <c r="V8" s="6" t="s">
        <v>320</v>
      </c>
      <c r="W8" s="6" t="s">
        <v>273</v>
      </c>
      <c r="X8" s="6" t="b">
        <v>1</v>
      </c>
      <c r="Y8" s="6" t="s">
        <v>281</v>
      </c>
      <c r="Z8" s="6" t="s">
        <v>290</v>
      </c>
      <c r="AA8" s="6" t="s">
        <v>285</v>
      </c>
      <c r="AB8" s="7">
        <v>46265</v>
      </c>
      <c r="AC8" s="6" t="s">
        <v>291</v>
      </c>
    </row>
    <row r="9" spans="1:32" ht="128" x14ac:dyDescent="0.2">
      <c r="A9" s="3" t="s">
        <v>84</v>
      </c>
      <c r="B9" s="1" t="s">
        <v>85</v>
      </c>
      <c r="C9" s="1" t="s">
        <v>95</v>
      </c>
      <c r="D9" s="1" t="s">
        <v>43</v>
      </c>
      <c r="E9" s="1" t="s">
        <v>96</v>
      </c>
      <c r="F9" s="1" t="s">
        <v>97</v>
      </c>
      <c r="G9" s="1" t="s">
        <v>98</v>
      </c>
      <c r="H9" s="1" t="s">
        <v>99</v>
      </c>
      <c r="I9" s="1" t="s">
        <v>91</v>
      </c>
      <c r="J9" s="1" t="s">
        <v>92</v>
      </c>
      <c r="K9" s="1" t="s">
        <v>50</v>
      </c>
      <c r="L9" s="1" t="s">
        <v>51</v>
      </c>
      <c r="M9" s="1">
        <v>2022</v>
      </c>
      <c r="N9" s="1">
        <v>2022</v>
      </c>
      <c r="O9" s="1">
        <v>1</v>
      </c>
      <c r="P9" s="1" t="s">
        <v>100</v>
      </c>
      <c r="Q9" s="1">
        <v>1</v>
      </c>
      <c r="R9" s="1" t="b">
        <v>0</v>
      </c>
      <c r="S9" s="1" t="b">
        <v>1</v>
      </c>
      <c r="T9" s="1" t="s">
        <v>53</v>
      </c>
      <c r="U9" s="1" t="s">
        <v>94</v>
      </c>
      <c r="V9" s="6" t="s">
        <v>321</v>
      </c>
      <c r="W9" s="6" t="s">
        <v>273</v>
      </c>
      <c r="X9" s="6" t="b">
        <v>1</v>
      </c>
      <c r="Y9" s="6" t="s">
        <v>281</v>
      </c>
      <c r="Z9" s="6" t="s">
        <v>290</v>
      </c>
      <c r="AA9" s="6" t="s">
        <v>285</v>
      </c>
      <c r="AB9" s="7">
        <v>46265</v>
      </c>
      <c r="AC9" s="6" t="s">
        <v>291</v>
      </c>
    </row>
    <row r="10" spans="1:32" ht="80" x14ac:dyDescent="0.2">
      <c r="A10" s="3" t="s">
        <v>84</v>
      </c>
      <c r="B10" s="1" t="s">
        <v>101</v>
      </c>
      <c r="C10" s="1" t="s">
        <v>102</v>
      </c>
      <c r="D10" s="1" t="s">
        <v>62</v>
      </c>
      <c r="E10" s="1" t="s">
        <v>103</v>
      </c>
      <c r="F10" s="1" t="s">
        <v>88</v>
      </c>
      <c r="G10" s="1" t="s">
        <v>104</v>
      </c>
      <c r="H10" s="1" t="s">
        <v>105</v>
      </c>
      <c r="I10" s="1" t="s">
        <v>106</v>
      </c>
      <c r="J10" s="1" t="s">
        <v>107</v>
      </c>
      <c r="K10" s="1" t="s">
        <v>50</v>
      </c>
      <c r="L10" s="1" t="s">
        <v>51</v>
      </c>
      <c r="M10" s="1">
        <v>2004</v>
      </c>
      <c r="N10" s="1">
        <v>2007</v>
      </c>
      <c r="O10" s="1">
        <v>4</v>
      </c>
      <c r="P10" s="1" t="s">
        <v>108</v>
      </c>
      <c r="Q10" s="1">
        <v>1</v>
      </c>
      <c r="R10" s="1" t="b">
        <v>0</v>
      </c>
      <c r="S10" s="1" t="b">
        <v>1</v>
      </c>
      <c r="T10" s="1" t="s">
        <v>53</v>
      </c>
      <c r="U10" s="1" t="s">
        <v>94</v>
      </c>
      <c r="V10" s="6" t="s">
        <v>322</v>
      </c>
      <c r="W10" s="6" t="s">
        <v>273</v>
      </c>
      <c r="X10" s="6" t="b">
        <v>1</v>
      </c>
      <c r="Y10" s="6" t="s">
        <v>281</v>
      </c>
      <c r="Z10" s="6" t="s">
        <v>292</v>
      </c>
      <c r="AA10" s="6" t="s">
        <v>285</v>
      </c>
      <c r="AB10" s="7">
        <v>46265</v>
      </c>
      <c r="AC10" s="6" t="s">
        <v>293</v>
      </c>
    </row>
    <row r="11" spans="1:32" ht="208" x14ac:dyDescent="0.2">
      <c r="A11" s="3" t="s">
        <v>84</v>
      </c>
      <c r="B11" s="1" t="s">
        <v>41</v>
      </c>
      <c r="C11" s="1" t="s">
        <v>109</v>
      </c>
      <c r="D11" s="1" t="s">
        <v>62</v>
      </c>
      <c r="E11" s="1" t="s">
        <v>110</v>
      </c>
      <c r="F11" s="1" t="s">
        <v>88</v>
      </c>
      <c r="G11" s="1" t="s">
        <v>336</v>
      </c>
      <c r="H11" s="1" t="s">
        <v>111</v>
      </c>
      <c r="I11" s="1" t="s">
        <v>48</v>
      </c>
      <c r="J11" s="1" t="s">
        <v>49</v>
      </c>
      <c r="K11" s="1" t="s">
        <v>50</v>
      </c>
      <c r="L11" s="1" t="s">
        <v>51</v>
      </c>
      <c r="M11" s="1">
        <v>2017</v>
      </c>
      <c r="N11" s="1">
        <v>2017</v>
      </c>
      <c r="O11" s="1">
        <v>1</v>
      </c>
      <c r="P11" s="1" t="s">
        <v>112</v>
      </c>
      <c r="Q11" s="1">
        <v>1</v>
      </c>
      <c r="R11" s="1" t="b">
        <v>0</v>
      </c>
      <c r="S11" s="1" t="b">
        <v>1</v>
      </c>
      <c r="T11" s="1" t="s">
        <v>53</v>
      </c>
      <c r="U11" s="1" t="s">
        <v>94</v>
      </c>
      <c r="V11" s="6" t="s">
        <v>319</v>
      </c>
      <c r="W11" s="6" t="s">
        <v>273</v>
      </c>
      <c r="X11" s="6" t="b">
        <v>1</v>
      </c>
      <c r="Y11" s="6" t="s">
        <v>281</v>
      </c>
      <c r="Z11" s="6" t="s">
        <v>295</v>
      </c>
      <c r="AA11" s="6" t="s">
        <v>285</v>
      </c>
      <c r="AB11" s="7">
        <v>46265</v>
      </c>
      <c r="AC11" s="6" t="s">
        <v>335</v>
      </c>
    </row>
    <row r="12" spans="1:32" ht="80" x14ac:dyDescent="0.2">
      <c r="A12" s="3" t="s">
        <v>113</v>
      </c>
      <c r="B12" s="1" t="s">
        <v>114</v>
      </c>
      <c r="C12" s="1" t="s">
        <v>115</v>
      </c>
      <c r="D12" s="1" t="s">
        <v>62</v>
      </c>
      <c r="E12" s="1" t="s">
        <v>116</v>
      </c>
      <c r="F12" s="1" t="s">
        <v>117</v>
      </c>
      <c r="G12" s="1" t="s">
        <v>118</v>
      </c>
      <c r="H12" s="1" t="s">
        <v>119</v>
      </c>
      <c r="I12" s="1" t="s">
        <v>120</v>
      </c>
      <c r="J12" s="1" t="s">
        <v>121</v>
      </c>
      <c r="K12" s="1" t="s">
        <v>50</v>
      </c>
      <c r="L12" s="1" t="s">
        <v>122</v>
      </c>
      <c r="M12" s="1">
        <v>2004</v>
      </c>
      <c r="N12" s="1">
        <v>2005</v>
      </c>
      <c r="O12" s="1">
        <v>2</v>
      </c>
      <c r="P12" s="1" t="s">
        <v>123</v>
      </c>
      <c r="Q12" s="1">
        <v>3</v>
      </c>
      <c r="R12" s="1" t="b">
        <v>1</v>
      </c>
      <c r="S12" s="1" t="b">
        <v>0</v>
      </c>
      <c r="T12" s="1" t="s">
        <v>53</v>
      </c>
      <c r="U12" s="1" t="s">
        <v>54</v>
      </c>
      <c r="V12" s="6" t="s">
        <v>323</v>
      </c>
      <c r="W12" s="6" t="s">
        <v>274</v>
      </c>
      <c r="X12" s="6" t="b">
        <v>1</v>
      </c>
      <c r="Y12" s="6" t="s">
        <v>281</v>
      </c>
      <c r="Z12" s="6" t="s">
        <v>297</v>
      </c>
      <c r="AA12" s="6" t="s">
        <v>285</v>
      </c>
      <c r="AB12" s="7">
        <v>46265</v>
      </c>
      <c r="AC12" s="6" t="s">
        <v>298</v>
      </c>
    </row>
    <row r="13" spans="1:32" ht="80" x14ac:dyDescent="0.2">
      <c r="A13" s="3" t="s">
        <v>113</v>
      </c>
      <c r="B13" s="1" t="s">
        <v>114</v>
      </c>
      <c r="C13" s="1" t="s">
        <v>124</v>
      </c>
      <c r="D13" s="1" t="s">
        <v>43</v>
      </c>
      <c r="E13" s="1" t="s">
        <v>125</v>
      </c>
      <c r="F13" s="1" t="s">
        <v>117</v>
      </c>
      <c r="G13" s="1" t="s">
        <v>118</v>
      </c>
      <c r="H13" s="1" t="s">
        <v>126</v>
      </c>
      <c r="I13" s="1" t="s">
        <v>120</v>
      </c>
      <c r="J13" s="1" t="s">
        <v>121</v>
      </c>
      <c r="K13" s="1" t="s">
        <v>50</v>
      </c>
      <c r="L13" s="1" t="s">
        <v>122</v>
      </c>
      <c r="M13" s="1">
        <v>2004</v>
      </c>
      <c r="N13" s="1">
        <v>2005</v>
      </c>
      <c r="O13" s="1">
        <v>2</v>
      </c>
      <c r="P13" s="1" t="s">
        <v>123</v>
      </c>
      <c r="Q13" s="1">
        <v>3</v>
      </c>
      <c r="R13" s="1" t="b">
        <v>1</v>
      </c>
      <c r="S13" s="1" t="b">
        <v>0</v>
      </c>
      <c r="T13" s="1" t="s">
        <v>53</v>
      </c>
      <c r="U13" s="1" t="s">
        <v>54</v>
      </c>
      <c r="V13" s="6" t="s">
        <v>323</v>
      </c>
      <c r="W13" s="6" t="s">
        <v>274</v>
      </c>
      <c r="X13" s="6" t="b">
        <v>1</v>
      </c>
      <c r="Y13" s="6" t="s">
        <v>281</v>
      </c>
      <c r="Z13" s="6" t="s">
        <v>297</v>
      </c>
      <c r="AA13" s="6" t="s">
        <v>285</v>
      </c>
      <c r="AB13" s="7">
        <v>46265</v>
      </c>
      <c r="AC13" s="6" t="s">
        <v>298</v>
      </c>
    </row>
    <row r="14" spans="1:32" ht="80" x14ac:dyDescent="0.2">
      <c r="A14" s="3" t="s">
        <v>113</v>
      </c>
      <c r="B14" s="1" t="s">
        <v>114</v>
      </c>
      <c r="C14" s="1" t="s">
        <v>127</v>
      </c>
      <c r="D14" s="1" t="s">
        <v>57</v>
      </c>
      <c r="E14" s="1" t="s">
        <v>128</v>
      </c>
      <c r="F14" s="1" t="s">
        <v>117</v>
      </c>
      <c r="G14" s="1" t="s">
        <v>118</v>
      </c>
      <c r="H14" s="1" t="s">
        <v>129</v>
      </c>
      <c r="I14" s="1" t="s">
        <v>120</v>
      </c>
      <c r="J14" s="1" t="s">
        <v>121</v>
      </c>
      <c r="K14" s="1" t="s">
        <v>50</v>
      </c>
      <c r="L14" s="1" t="s">
        <v>122</v>
      </c>
      <c r="M14" s="1">
        <v>2004</v>
      </c>
      <c r="N14" s="1">
        <v>2005</v>
      </c>
      <c r="O14" s="1">
        <v>2</v>
      </c>
      <c r="P14" s="1" t="s">
        <v>123</v>
      </c>
      <c r="Q14" s="1">
        <v>3</v>
      </c>
      <c r="R14" s="1" t="b">
        <v>1</v>
      </c>
      <c r="S14" s="1" t="b">
        <v>0</v>
      </c>
      <c r="T14" s="1" t="s">
        <v>53</v>
      </c>
      <c r="U14" s="1" t="s">
        <v>54</v>
      </c>
      <c r="V14" s="6" t="s">
        <v>323</v>
      </c>
      <c r="W14" s="6" t="s">
        <v>274</v>
      </c>
      <c r="X14" s="6" t="b">
        <v>1</v>
      </c>
      <c r="Y14" s="6" t="s">
        <v>281</v>
      </c>
      <c r="Z14" s="6" t="s">
        <v>297</v>
      </c>
      <c r="AA14" s="6" t="s">
        <v>285</v>
      </c>
      <c r="AB14" s="7">
        <v>46265</v>
      </c>
      <c r="AC14" s="6" t="s">
        <v>298</v>
      </c>
    </row>
    <row r="15" spans="1:32" ht="144" x14ac:dyDescent="0.2">
      <c r="A15" s="3" t="s">
        <v>113</v>
      </c>
      <c r="B15" s="1" t="s">
        <v>130</v>
      </c>
      <c r="C15" s="1" t="s">
        <v>131</v>
      </c>
      <c r="D15" s="1" t="s">
        <v>57</v>
      </c>
      <c r="E15" s="1" t="s">
        <v>132</v>
      </c>
      <c r="F15" s="1" t="s">
        <v>133</v>
      </c>
      <c r="G15" s="1" t="s">
        <v>134</v>
      </c>
      <c r="H15" s="1" t="s">
        <v>135</v>
      </c>
      <c r="I15" s="1" t="s">
        <v>136</v>
      </c>
      <c r="J15" s="1" t="s">
        <v>137</v>
      </c>
      <c r="K15" s="1" t="s">
        <v>50</v>
      </c>
      <c r="L15" s="1" t="s">
        <v>51</v>
      </c>
      <c r="M15" s="1">
        <v>2018</v>
      </c>
      <c r="N15" s="1">
        <v>2018</v>
      </c>
      <c r="O15" s="1">
        <v>1</v>
      </c>
      <c r="P15" s="1" t="s">
        <v>138</v>
      </c>
      <c r="Q15" s="1">
        <v>2</v>
      </c>
      <c r="R15" s="1" t="b">
        <v>1</v>
      </c>
      <c r="S15" s="1" t="b">
        <v>0</v>
      </c>
      <c r="T15" s="1" t="s">
        <v>53</v>
      </c>
      <c r="U15" s="1" t="s">
        <v>54</v>
      </c>
      <c r="V15" s="6" t="s">
        <v>324</v>
      </c>
      <c r="W15" s="6" t="s">
        <v>273</v>
      </c>
      <c r="X15" s="6" t="b">
        <v>1</v>
      </c>
      <c r="Y15" s="6" t="s">
        <v>281</v>
      </c>
      <c r="Z15" s="6" t="s">
        <v>299</v>
      </c>
      <c r="AA15" s="6" t="s">
        <v>285</v>
      </c>
      <c r="AB15" s="7">
        <v>46265</v>
      </c>
      <c r="AC15" s="6" t="s">
        <v>337</v>
      </c>
    </row>
    <row r="16" spans="1:32" ht="380" x14ac:dyDescent="0.2">
      <c r="A16" s="3" t="s">
        <v>113</v>
      </c>
      <c r="B16" s="1" t="s">
        <v>130</v>
      </c>
      <c r="C16" s="1" t="s">
        <v>139</v>
      </c>
      <c r="D16" s="1" t="s">
        <v>140</v>
      </c>
      <c r="E16" s="1" t="s">
        <v>141</v>
      </c>
      <c r="F16" s="1" t="s">
        <v>133</v>
      </c>
      <c r="G16" s="1" t="s">
        <v>134</v>
      </c>
      <c r="H16" s="1" t="s">
        <v>142</v>
      </c>
      <c r="I16" s="1" t="s">
        <v>136</v>
      </c>
      <c r="J16" s="1" t="s">
        <v>137</v>
      </c>
      <c r="K16" s="1" t="s">
        <v>50</v>
      </c>
      <c r="L16" s="1" t="s">
        <v>51</v>
      </c>
      <c r="M16" s="1">
        <v>2018</v>
      </c>
      <c r="N16" s="1">
        <v>2018</v>
      </c>
      <c r="O16" s="1">
        <v>1</v>
      </c>
      <c r="P16" s="1" t="s">
        <v>138</v>
      </c>
      <c r="Q16" s="1">
        <v>2</v>
      </c>
      <c r="R16" s="1" t="b">
        <v>1</v>
      </c>
      <c r="S16" s="1" t="b">
        <v>0</v>
      </c>
      <c r="T16" s="1" t="s">
        <v>53</v>
      </c>
      <c r="U16" s="1" t="s">
        <v>54</v>
      </c>
      <c r="V16" s="6" t="s">
        <v>324</v>
      </c>
      <c r="W16" s="6" t="s">
        <v>274</v>
      </c>
      <c r="X16" s="6" t="b">
        <v>0</v>
      </c>
      <c r="Y16" s="6" t="s">
        <v>282</v>
      </c>
      <c r="Z16" s="6" t="s">
        <v>299</v>
      </c>
      <c r="AA16" s="6" t="s">
        <v>285</v>
      </c>
      <c r="AB16" s="7">
        <v>46265</v>
      </c>
      <c r="AC16" s="6" t="s">
        <v>338</v>
      </c>
    </row>
    <row r="17" spans="1:29" ht="96" x14ac:dyDescent="0.2">
      <c r="A17" s="3" t="s">
        <v>113</v>
      </c>
      <c r="B17" s="1" t="s">
        <v>143</v>
      </c>
      <c r="C17" s="1" t="s">
        <v>144</v>
      </c>
      <c r="D17" s="1" t="s">
        <v>62</v>
      </c>
      <c r="E17" s="1" t="s">
        <v>145</v>
      </c>
      <c r="F17" s="1" t="s">
        <v>64</v>
      </c>
      <c r="G17" s="1" t="s">
        <v>146</v>
      </c>
      <c r="H17" s="1" t="s">
        <v>147</v>
      </c>
      <c r="I17" s="1" t="s">
        <v>148</v>
      </c>
      <c r="J17" s="1" t="s">
        <v>149</v>
      </c>
      <c r="K17" s="1" t="s">
        <v>50</v>
      </c>
      <c r="L17" s="1" t="s">
        <v>122</v>
      </c>
      <c r="M17" s="1">
        <v>1985</v>
      </c>
      <c r="N17" s="1">
        <v>1988</v>
      </c>
      <c r="O17" s="1">
        <v>4</v>
      </c>
      <c r="P17" s="1" t="s">
        <v>150</v>
      </c>
      <c r="Q17" s="1">
        <v>2</v>
      </c>
      <c r="R17" s="1" t="b">
        <v>1</v>
      </c>
      <c r="S17" s="1" t="b">
        <v>0</v>
      </c>
      <c r="T17" s="1" t="s">
        <v>53</v>
      </c>
      <c r="U17" s="1" t="s">
        <v>54</v>
      </c>
      <c r="V17" s="6" t="s">
        <v>325</v>
      </c>
      <c r="W17" s="6" t="s">
        <v>274</v>
      </c>
      <c r="X17" s="6" t="b">
        <v>1</v>
      </c>
      <c r="Y17" s="6" t="s">
        <v>281</v>
      </c>
      <c r="Z17" s="6" t="s">
        <v>300</v>
      </c>
      <c r="AA17" s="6" t="s">
        <v>285</v>
      </c>
      <c r="AB17" s="7">
        <v>46265</v>
      </c>
      <c r="AC17" s="6" t="s">
        <v>301</v>
      </c>
    </row>
    <row r="18" spans="1:29" ht="96" x14ac:dyDescent="0.2">
      <c r="A18" s="3" t="s">
        <v>113</v>
      </c>
      <c r="B18" s="1" t="s">
        <v>143</v>
      </c>
      <c r="C18" s="1" t="s">
        <v>151</v>
      </c>
      <c r="D18" s="1" t="s">
        <v>43</v>
      </c>
      <c r="E18" s="1" t="s">
        <v>152</v>
      </c>
      <c r="F18" s="1" t="s">
        <v>64</v>
      </c>
      <c r="G18" s="1" t="s">
        <v>146</v>
      </c>
      <c r="H18" s="1" t="s">
        <v>153</v>
      </c>
      <c r="I18" s="1" t="s">
        <v>148</v>
      </c>
      <c r="J18" s="1" t="s">
        <v>149</v>
      </c>
      <c r="K18" s="1" t="s">
        <v>50</v>
      </c>
      <c r="L18" s="1" t="s">
        <v>122</v>
      </c>
      <c r="M18" s="1">
        <v>1985</v>
      </c>
      <c r="N18" s="1">
        <v>1988</v>
      </c>
      <c r="O18" s="1">
        <v>4</v>
      </c>
      <c r="P18" s="1" t="s">
        <v>150</v>
      </c>
      <c r="Q18" s="1">
        <v>2</v>
      </c>
      <c r="R18" s="1" t="b">
        <v>1</v>
      </c>
      <c r="S18" s="1" t="b">
        <v>0</v>
      </c>
      <c r="T18" s="1" t="s">
        <v>53</v>
      </c>
      <c r="U18" s="1" t="s">
        <v>54</v>
      </c>
      <c r="V18" s="6" t="s">
        <v>325</v>
      </c>
      <c r="W18" s="6" t="s">
        <v>274</v>
      </c>
      <c r="X18" s="6" t="b">
        <v>1</v>
      </c>
      <c r="Y18" s="6" t="s">
        <v>281</v>
      </c>
      <c r="Z18" s="6" t="s">
        <v>300</v>
      </c>
      <c r="AA18" s="6" t="s">
        <v>285</v>
      </c>
      <c r="AB18" s="7">
        <v>46265</v>
      </c>
      <c r="AC18" s="6" t="s">
        <v>301</v>
      </c>
    </row>
    <row r="19" spans="1:29" ht="160" x14ac:dyDescent="0.2">
      <c r="A19" s="3" t="s">
        <v>113</v>
      </c>
      <c r="B19" s="1" t="s">
        <v>154</v>
      </c>
      <c r="C19" s="1" t="s">
        <v>155</v>
      </c>
      <c r="D19" s="1" t="s">
        <v>57</v>
      </c>
      <c r="E19" s="1" t="s">
        <v>156</v>
      </c>
      <c r="F19" s="1" t="s">
        <v>157</v>
      </c>
      <c r="G19" s="1" t="s">
        <v>158</v>
      </c>
      <c r="H19" s="1" t="s">
        <v>159</v>
      </c>
      <c r="I19" s="1" t="s">
        <v>160</v>
      </c>
      <c r="J19" s="1" t="s">
        <v>161</v>
      </c>
      <c r="K19" s="1" t="s">
        <v>50</v>
      </c>
      <c r="L19" s="1" t="s">
        <v>122</v>
      </c>
      <c r="M19" s="1">
        <v>1989</v>
      </c>
      <c r="N19" s="1">
        <v>1993</v>
      </c>
      <c r="O19" s="1">
        <v>4</v>
      </c>
      <c r="P19" s="1" t="s">
        <v>162</v>
      </c>
      <c r="Q19" s="1">
        <v>3</v>
      </c>
      <c r="R19" s="1" t="b">
        <v>1</v>
      </c>
      <c r="S19" s="1" t="b">
        <v>0</v>
      </c>
      <c r="T19" s="1" t="s">
        <v>53</v>
      </c>
      <c r="U19" s="1" t="s">
        <v>54</v>
      </c>
      <c r="V19" s="6" t="s">
        <v>326</v>
      </c>
      <c r="W19" s="6" t="s">
        <v>274</v>
      </c>
      <c r="X19" s="6" t="b">
        <v>1</v>
      </c>
      <c r="Y19" s="6" t="s">
        <v>281</v>
      </c>
      <c r="Z19" s="6" t="s">
        <v>302</v>
      </c>
      <c r="AA19" s="6" t="s">
        <v>285</v>
      </c>
      <c r="AB19" s="7">
        <v>46265</v>
      </c>
      <c r="AC19" s="6" t="s">
        <v>303</v>
      </c>
    </row>
    <row r="20" spans="1:29" ht="160" x14ac:dyDescent="0.2">
      <c r="A20" s="3" t="s">
        <v>113</v>
      </c>
      <c r="B20" s="1" t="s">
        <v>154</v>
      </c>
      <c r="C20" s="1" t="s">
        <v>163</v>
      </c>
      <c r="D20" s="1" t="s">
        <v>140</v>
      </c>
      <c r="E20" s="1" t="s">
        <v>164</v>
      </c>
      <c r="F20" s="1" t="s">
        <v>157</v>
      </c>
      <c r="G20" s="1" t="s">
        <v>158</v>
      </c>
      <c r="H20" s="1" t="s">
        <v>165</v>
      </c>
      <c r="I20" s="1" t="s">
        <v>160</v>
      </c>
      <c r="J20" s="1" t="s">
        <v>161</v>
      </c>
      <c r="K20" s="1" t="s">
        <v>50</v>
      </c>
      <c r="L20" s="1" t="s">
        <v>122</v>
      </c>
      <c r="M20" s="1">
        <v>1991</v>
      </c>
      <c r="N20" s="1">
        <v>1993</v>
      </c>
      <c r="O20" s="1">
        <v>2</v>
      </c>
      <c r="P20" s="1" t="s">
        <v>162</v>
      </c>
      <c r="Q20" s="1">
        <v>3</v>
      </c>
      <c r="R20" s="1" t="b">
        <v>1</v>
      </c>
      <c r="S20" s="1" t="b">
        <v>0</v>
      </c>
      <c r="T20" s="1" t="s">
        <v>53</v>
      </c>
      <c r="U20" s="1" t="s">
        <v>54</v>
      </c>
      <c r="V20" s="6" t="s">
        <v>326</v>
      </c>
      <c r="W20" s="6" t="s">
        <v>274</v>
      </c>
      <c r="X20" s="6" t="b">
        <v>1</v>
      </c>
      <c r="Y20" s="6" t="s">
        <v>281</v>
      </c>
      <c r="Z20" s="6" t="s">
        <v>302</v>
      </c>
      <c r="AA20" s="6" t="s">
        <v>285</v>
      </c>
      <c r="AB20" s="7">
        <v>46265</v>
      </c>
      <c r="AC20" s="6" t="s">
        <v>303</v>
      </c>
    </row>
    <row r="21" spans="1:29" ht="160" x14ac:dyDescent="0.2">
      <c r="A21" s="3" t="s">
        <v>113</v>
      </c>
      <c r="B21" s="1" t="s">
        <v>154</v>
      </c>
      <c r="C21" s="1" t="s">
        <v>166</v>
      </c>
      <c r="D21" s="1" t="s">
        <v>167</v>
      </c>
      <c r="E21" s="1" t="s">
        <v>168</v>
      </c>
      <c r="F21" s="1" t="s">
        <v>157</v>
      </c>
      <c r="G21" s="1" t="s">
        <v>158</v>
      </c>
      <c r="H21" s="1" t="s">
        <v>169</v>
      </c>
      <c r="I21" s="1" t="s">
        <v>160</v>
      </c>
      <c r="J21" s="1" t="s">
        <v>161</v>
      </c>
      <c r="K21" s="1" t="s">
        <v>50</v>
      </c>
      <c r="L21" s="1" t="s">
        <v>122</v>
      </c>
      <c r="M21" s="1">
        <v>1989</v>
      </c>
      <c r="N21" s="1">
        <v>1991</v>
      </c>
      <c r="O21" s="1">
        <v>3</v>
      </c>
      <c r="P21" s="1" t="s">
        <v>162</v>
      </c>
      <c r="Q21" s="1">
        <v>3</v>
      </c>
      <c r="R21" s="1" t="b">
        <v>1</v>
      </c>
      <c r="S21" s="1" t="b">
        <v>0</v>
      </c>
      <c r="T21" s="1" t="s">
        <v>53</v>
      </c>
      <c r="U21" s="1" t="s">
        <v>54</v>
      </c>
      <c r="V21" s="6" t="s">
        <v>326</v>
      </c>
      <c r="W21" s="6" t="s">
        <v>274</v>
      </c>
      <c r="X21" s="6" t="b">
        <v>1</v>
      </c>
      <c r="Y21" s="6" t="s">
        <v>281</v>
      </c>
      <c r="Z21" s="6" t="s">
        <v>302</v>
      </c>
      <c r="AA21" s="6" t="s">
        <v>285</v>
      </c>
      <c r="AB21" s="7">
        <v>46265</v>
      </c>
      <c r="AC21" s="6" t="s">
        <v>303</v>
      </c>
    </row>
    <row r="22" spans="1:29" ht="96" x14ac:dyDescent="0.2">
      <c r="A22" s="3" t="s">
        <v>113</v>
      </c>
      <c r="B22" s="1" t="s">
        <v>170</v>
      </c>
      <c r="C22" s="1" t="s">
        <v>171</v>
      </c>
      <c r="D22" s="1" t="s">
        <v>62</v>
      </c>
      <c r="E22" s="1" t="s">
        <v>172</v>
      </c>
      <c r="F22" s="1" t="s">
        <v>117</v>
      </c>
      <c r="G22" s="1" t="s">
        <v>173</v>
      </c>
      <c r="H22" s="1" t="s">
        <v>174</v>
      </c>
      <c r="I22" s="1" t="s">
        <v>175</v>
      </c>
      <c r="J22" s="1" t="s">
        <v>176</v>
      </c>
      <c r="K22" s="1" t="s">
        <v>50</v>
      </c>
      <c r="L22" s="1" t="s">
        <v>51</v>
      </c>
      <c r="M22" s="1">
        <v>2011</v>
      </c>
      <c r="N22" s="1">
        <v>2015</v>
      </c>
      <c r="O22" s="1">
        <v>5</v>
      </c>
      <c r="P22" s="1" t="s">
        <v>177</v>
      </c>
      <c r="Q22" s="1">
        <v>3</v>
      </c>
      <c r="R22" s="1" t="b">
        <v>1</v>
      </c>
      <c r="S22" s="1" t="b">
        <v>0</v>
      </c>
      <c r="T22" s="1" t="s">
        <v>53</v>
      </c>
      <c r="U22" s="1" t="s">
        <v>54</v>
      </c>
      <c r="V22" s="12" t="s">
        <v>327</v>
      </c>
      <c r="W22" s="6" t="s">
        <v>274</v>
      </c>
      <c r="X22" s="6" t="b">
        <v>1</v>
      </c>
      <c r="Y22" s="6" t="s">
        <v>281</v>
      </c>
      <c r="Z22" s="6" t="s">
        <v>304</v>
      </c>
      <c r="AA22" s="6" t="s">
        <v>285</v>
      </c>
      <c r="AB22" s="7">
        <v>46265</v>
      </c>
      <c r="AC22" s="6" t="s">
        <v>305</v>
      </c>
    </row>
    <row r="23" spans="1:29" ht="96" x14ac:dyDescent="0.2">
      <c r="A23" s="3" t="s">
        <v>113</v>
      </c>
      <c r="B23" s="1" t="s">
        <v>170</v>
      </c>
      <c r="C23" s="1" t="s">
        <v>178</v>
      </c>
      <c r="D23" s="1" t="s">
        <v>43</v>
      </c>
      <c r="E23" s="1" t="s">
        <v>179</v>
      </c>
      <c r="F23" s="1" t="s">
        <v>117</v>
      </c>
      <c r="G23" s="1" t="s">
        <v>173</v>
      </c>
      <c r="H23" s="1" t="s">
        <v>180</v>
      </c>
      <c r="I23" s="1" t="s">
        <v>175</v>
      </c>
      <c r="J23" s="1" t="s">
        <v>176</v>
      </c>
      <c r="K23" s="1" t="s">
        <v>50</v>
      </c>
      <c r="L23" s="1" t="s">
        <v>51</v>
      </c>
      <c r="M23" s="1">
        <v>2011</v>
      </c>
      <c r="N23" s="1">
        <v>2015</v>
      </c>
      <c r="O23" s="1">
        <v>5</v>
      </c>
      <c r="P23" s="1" t="s">
        <v>177</v>
      </c>
      <c r="Q23" s="1">
        <v>3</v>
      </c>
      <c r="R23" s="1" t="b">
        <v>1</v>
      </c>
      <c r="S23" s="1" t="b">
        <v>0</v>
      </c>
      <c r="T23" s="1" t="s">
        <v>53</v>
      </c>
      <c r="U23" s="1" t="s">
        <v>54</v>
      </c>
      <c r="V23" s="12" t="s">
        <v>327</v>
      </c>
      <c r="W23" s="6" t="s">
        <v>274</v>
      </c>
      <c r="X23" s="6" t="b">
        <v>1</v>
      </c>
      <c r="Y23" s="6" t="s">
        <v>281</v>
      </c>
      <c r="Z23" s="6" t="s">
        <v>304</v>
      </c>
      <c r="AA23" s="6" t="s">
        <v>285</v>
      </c>
      <c r="AB23" s="7">
        <v>46265</v>
      </c>
      <c r="AC23" s="6" t="s">
        <v>305</v>
      </c>
    </row>
    <row r="24" spans="1:29" ht="96" x14ac:dyDescent="0.2">
      <c r="A24" s="3" t="s">
        <v>113</v>
      </c>
      <c r="B24" s="1" t="s">
        <v>170</v>
      </c>
      <c r="C24" s="1" t="s">
        <v>181</v>
      </c>
      <c r="D24" s="1" t="s">
        <v>57</v>
      </c>
      <c r="E24" s="1" t="s">
        <v>182</v>
      </c>
      <c r="F24" s="1" t="s">
        <v>117</v>
      </c>
      <c r="G24" s="1" t="s">
        <v>173</v>
      </c>
      <c r="H24" s="1" t="s">
        <v>183</v>
      </c>
      <c r="I24" s="1" t="s">
        <v>175</v>
      </c>
      <c r="J24" s="1" t="s">
        <v>176</v>
      </c>
      <c r="K24" s="1" t="s">
        <v>50</v>
      </c>
      <c r="L24" s="1" t="s">
        <v>51</v>
      </c>
      <c r="M24" s="1">
        <v>2011</v>
      </c>
      <c r="N24" s="1">
        <v>2015</v>
      </c>
      <c r="O24" s="1">
        <v>5</v>
      </c>
      <c r="P24" s="1" t="s">
        <v>177</v>
      </c>
      <c r="Q24" s="1">
        <v>3</v>
      </c>
      <c r="R24" s="1" t="b">
        <v>1</v>
      </c>
      <c r="S24" s="1" t="b">
        <v>0</v>
      </c>
      <c r="T24" s="1" t="s">
        <v>53</v>
      </c>
      <c r="U24" s="1" t="s">
        <v>54</v>
      </c>
      <c r="V24" s="12" t="s">
        <v>327</v>
      </c>
      <c r="W24" s="6" t="s">
        <v>274</v>
      </c>
      <c r="X24" s="6" t="b">
        <v>1</v>
      </c>
      <c r="Y24" s="6" t="s">
        <v>281</v>
      </c>
      <c r="Z24" s="6" t="s">
        <v>304</v>
      </c>
      <c r="AA24" s="6" t="s">
        <v>285</v>
      </c>
      <c r="AB24" s="7">
        <v>46265</v>
      </c>
      <c r="AC24" s="6" t="s">
        <v>305</v>
      </c>
    </row>
    <row r="25" spans="1:29" ht="160" x14ac:dyDescent="0.2">
      <c r="A25" s="3" t="s">
        <v>113</v>
      </c>
      <c r="B25" s="1" t="s">
        <v>184</v>
      </c>
      <c r="C25" s="1" t="s">
        <v>185</v>
      </c>
      <c r="D25" s="1" t="s">
        <v>62</v>
      </c>
      <c r="E25" s="1" t="s">
        <v>43</v>
      </c>
      <c r="F25" s="1" t="s">
        <v>117</v>
      </c>
      <c r="G25" s="1" t="s">
        <v>62</v>
      </c>
      <c r="H25" s="1" t="s">
        <v>186</v>
      </c>
      <c r="I25" s="1" t="s">
        <v>187</v>
      </c>
      <c r="J25" s="1" t="s">
        <v>188</v>
      </c>
      <c r="K25" s="1" t="s">
        <v>50</v>
      </c>
      <c r="L25" s="1" t="s">
        <v>122</v>
      </c>
      <c r="M25" s="1">
        <v>2008</v>
      </c>
      <c r="N25" s="1">
        <v>2009</v>
      </c>
      <c r="O25" s="1">
        <v>2</v>
      </c>
      <c r="P25" s="1" t="s">
        <v>189</v>
      </c>
      <c r="Q25" s="1">
        <v>3</v>
      </c>
      <c r="R25" s="1" t="b">
        <v>1</v>
      </c>
      <c r="S25" s="1" t="b">
        <v>0</v>
      </c>
      <c r="T25" s="1" t="s">
        <v>53</v>
      </c>
      <c r="U25" s="1" t="s">
        <v>54</v>
      </c>
      <c r="V25" s="6" t="s">
        <v>328</v>
      </c>
      <c r="W25" s="6" t="s">
        <v>274</v>
      </c>
      <c r="X25" s="6" t="b">
        <v>0</v>
      </c>
      <c r="Y25" s="6" t="s">
        <v>282</v>
      </c>
      <c r="Z25" s="6" t="s">
        <v>306</v>
      </c>
      <c r="AA25" s="6" t="s">
        <v>285</v>
      </c>
      <c r="AB25" s="7">
        <v>46265</v>
      </c>
      <c r="AC25" s="6" t="s">
        <v>339</v>
      </c>
    </row>
    <row r="26" spans="1:29" ht="160" x14ac:dyDescent="0.2">
      <c r="A26" s="3" t="s">
        <v>113</v>
      </c>
      <c r="B26" s="1" t="s">
        <v>184</v>
      </c>
      <c r="C26" s="1" t="s">
        <v>190</v>
      </c>
      <c r="D26" s="1" t="s">
        <v>43</v>
      </c>
      <c r="E26" s="1" t="s">
        <v>57</v>
      </c>
      <c r="F26" s="1" t="s">
        <v>117</v>
      </c>
      <c r="G26" s="1" t="s">
        <v>62</v>
      </c>
      <c r="H26" s="1" t="s">
        <v>191</v>
      </c>
      <c r="I26" s="1" t="s">
        <v>187</v>
      </c>
      <c r="J26" s="1" t="s">
        <v>188</v>
      </c>
      <c r="K26" s="1" t="s">
        <v>50</v>
      </c>
      <c r="L26" s="1" t="s">
        <v>122</v>
      </c>
      <c r="M26" s="1">
        <v>2008</v>
      </c>
      <c r="N26" s="1">
        <v>2009</v>
      </c>
      <c r="O26" s="1">
        <v>2</v>
      </c>
      <c r="P26" s="1" t="s">
        <v>189</v>
      </c>
      <c r="Q26" s="1">
        <v>3</v>
      </c>
      <c r="R26" s="1" t="b">
        <v>1</v>
      </c>
      <c r="S26" s="1" t="b">
        <v>0</v>
      </c>
      <c r="T26" s="1" t="s">
        <v>53</v>
      </c>
      <c r="U26" s="1" t="s">
        <v>54</v>
      </c>
      <c r="V26" s="6" t="s">
        <v>328</v>
      </c>
      <c r="W26" s="6" t="s">
        <v>274</v>
      </c>
      <c r="X26" s="6" t="b">
        <v>0</v>
      </c>
      <c r="Y26" s="6" t="s">
        <v>282</v>
      </c>
      <c r="Z26" s="6" t="s">
        <v>306</v>
      </c>
      <c r="AA26" s="6" t="s">
        <v>285</v>
      </c>
      <c r="AB26" s="7">
        <v>46265</v>
      </c>
      <c r="AC26" s="6" t="s">
        <v>340</v>
      </c>
    </row>
    <row r="27" spans="1:29" ht="160" x14ac:dyDescent="0.2">
      <c r="A27" s="3" t="s">
        <v>113</v>
      </c>
      <c r="B27" s="1" t="s">
        <v>184</v>
      </c>
      <c r="C27" s="1" t="s">
        <v>192</v>
      </c>
      <c r="D27" s="1" t="s">
        <v>57</v>
      </c>
      <c r="E27" s="1" t="s">
        <v>140</v>
      </c>
      <c r="F27" s="1" t="s">
        <v>117</v>
      </c>
      <c r="G27" s="1" t="s">
        <v>62</v>
      </c>
      <c r="H27" s="1" t="s">
        <v>193</v>
      </c>
      <c r="I27" s="1" t="s">
        <v>187</v>
      </c>
      <c r="J27" s="1" t="s">
        <v>188</v>
      </c>
      <c r="K27" s="1" t="s">
        <v>50</v>
      </c>
      <c r="L27" s="1" t="s">
        <v>122</v>
      </c>
      <c r="M27" s="1">
        <v>2008</v>
      </c>
      <c r="N27" s="1">
        <v>2009</v>
      </c>
      <c r="O27" s="1">
        <v>2</v>
      </c>
      <c r="P27" s="1" t="s">
        <v>189</v>
      </c>
      <c r="Q27" s="1">
        <v>3</v>
      </c>
      <c r="R27" s="1" t="b">
        <v>1</v>
      </c>
      <c r="S27" s="1" t="b">
        <v>0</v>
      </c>
      <c r="T27" s="1" t="s">
        <v>53</v>
      </c>
      <c r="U27" s="1" t="s">
        <v>54</v>
      </c>
      <c r="V27" s="6" t="s">
        <v>328</v>
      </c>
      <c r="W27" s="6" t="s">
        <v>273</v>
      </c>
      <c r="X27" s="6" t="b">
        <v>1</v>
      </c>
      <c r="Y27" s="6" t="s">
        <v>281</v>
      </c>
      <c r="Z27" s="6" t="s">
        <v>306</v>
      </c>
      <c r="AA27" s="6" t="s">
        <v>285</v>
      </c>
      <c r="AB27" s="7">
        <v>46265</v>
      </c>
      <c r="AC27" s="6" t="s">
        <v>341</v>
      </c>
    </row>
    <row r="28" spans="1:29" ht="176" x14ac:dyDescent="0.2">
      <c r="A28" s="3" t="s">
        <v>113</v>
      </c>
      <c r="B28" s="1" t="s">
        <v>194</v>
      </c>
      <c r="C28" s="1" t="s">
        <v>195</v>
      </c>
      <c r="D28" s="1" t="s">
        <v>62</v>
      </c>
      <c r="E28" s="1" t="s">
        <v>82</v>
      </c>
      <c r="F28" s="1" t="s">
        <v>64</v>
      </c>
      <c r="G28" s="1" t="s">
        <v>76</v>
      </c>
      <c r="H28" s="1" t="s">
        <v>196</v>
      </c>
      <c r="I28" s="1" t="s">
        <v>197</v>
      </c>
      <c r="J28" s="1" t="s">
        <v>198</v>
      </c>
      <c r="K28" s="1" t="s">
        <v>50</v>
      </c>
      <c r="L28" s="1" t="s">
        <v>199</v>
      </c>
      <c r="M28" s="1">
        <v>2013</v>
      </c>
      <c r="N28" s="1">
        <v>2013</v>
      </c>
      <c r="O28" s="1">
        <v>1</v>
      </c>
      <c r="P28" s="1" t="s">
        <v>200</v>
      </c>
      <c r="Q28" s="1">
        <v>2</v>
      </c>
      <c r="R28" s="1" t="b">
        <v>1</v>
      </c>
      <c r="S28" s="1" t="b">
        <v>0</v>
      </c>
      <c r="T28" s="1" t="s">
        <v>53</v>
      </c>
      <c r="U28" s="1" t="s">
        <v>54</v>
      </c>
      <c r="V28" s="6" t="s">
        <v>319</v>
      </c>
      <c r="W28" s="6" t="s">
        <v>274</v>
      </c>
      <c r="X28" s="6" t="b">
        <v>0</v>
      </c>
      <c r="Y28" s="6" t="s">
        <v>282</v>
      </c>
      <c r="Z28" s="6" t="s">
        <v>307</v>
      </c>
      <c r="AA28" s="6" t="s">
        <v>285</v>
      </c>
      <c r="AB28" s="7">
        <v>46265</v>
      </c>
      <c r="AC28" s="6" t="s">
        <v>342</v>
      </c>
    </row>
    <row r="29" spans="1:29" ht="176" x14ac:dyDescent="0.2">
      <c r="A29" s="3" t="s">
        <v>113</v>
      </c>
      <c r="B29" s="1" t="s">
        <v>194</v>
      </c>
      <c r="C29" s="1" t="s">
        <v>201</v>
      </c>
      <c r="D29" s="1" t="s">
        <v>43</v>
      </c>
      <c r="E29" s="1" t="s">
        <v>75</v>
      </c>
      <c r="F29" s="1" t="s">
        <v>64</v>
      </c>
      <c r="G29" s="1" t="s">
        <v>76</v>
      </c>
      <c r="H29" s="1" t="s">
        <v>202</v>
      </c>
      <c r="I29" s="1" t="s">
        <v>197</v>
      </c>
      <c r="J29" s="1" t="s">
        <v>198</v>
      </c>
      <c r="K29" s="1" t="s">
        <v>50</v>
      </c>
      <c r="L29" s="1" t="s">
        <v>199</v>
      </c>
      <c r="M29" s="1">
        <v>2013</v>
      </c>
      <c r="N29" s="1">
        <v>2013</v>
      </c>
      <c r="O29" s="1">
        <v>1</v>
      </c>
      <c r="P29" s="1" t="s">
        <v>200</v>
      </c>
      <c r="Q29" s="1">
        <v>2</v>
      </c>
      <c r="R29" s="1" t="b">
        <v>1</v>
      </c>
      <c r="S29" s="1" t="b">
        <v>0</v>
      </c>
      <c r="T29" s="1" t="s">
        <v>53</v>
      </c>
      <c r="U29" s="1" t="s">
        <v>54</v>
      </c>
      <c r="V29" s="6" t="s">
        <v>319</v>
      </c>
      <c r="W29" s="6" t="s">
        <v>274</v>
      </c>
      <c r="X29" s="6" t="b">
        <v>0</v>
      </c>
      <c r="Y29" s="6" t="s">
        <v>282</v>
      </c>
      <c r="Z29" s="6" t="s">
        <v>307</v>
      </c>
      <c r="AA29" s="6" t="s">
        <v>285</v>
      </c>
      <c r="AB29" s="7">
        <v>46265</v>
      </c>
      <c r="AC29" s="6" t="s">
        <v>342</v>
      </c>
    </row>
    <row r="30" spans="1:29" ht="256" x14ac:dyDescent="0.2">
      <c r="A30" s="1" t="s">
        <v>203</v>
      </c>
      <c r="B30" s="1" t="s">
        <v>204</v>
      </c>
      <c r="C30" s="1" t="s">
        <v>205</v>
      </c>
      <c r="D30" s="1" t="s">
        <v>62</v>
      </c>
      <c r="E30" s="1" t="s">
        <v>206</v>
      </c>
      <c r="F30" s="1" t="s">
        <v>88</v>
      </c>
      <c r="G30" s="1" t="s">
        <v>207</v>
      </c>
      <c r="H30" s="1" t="s">
        <v>208</v>
      </c>
      <c r="I30" s="1" t="s">
        <v>209</v>
      </c>
      <c r="J30" s="1" t="s">
        <v>210</v>
      </c>
      <c r="K30" s="1" t="s">
        <v>50</v>
      </c>
      <c r="L30" s="1" t="s">
        <v>199</v>
      </c>
      <c r="M30" s="1">
        <v>2016</v>
      </c>
      <c r="N30" s="1">
        <v>2016</v>
      </c>
      <c r="O30" s="1">
        <v>1</v>
      </c>
      <c r="P30" s="1" t="s">
        <v>211</v>
      </c>
      <c r="Q30" s="1">
        <v>1</v>
      </c>
      <c r="R30" s="1" t="b">
        <v>0</v>
      </c>
      <c r="S30" s="1" t="b">
        <v>0</v>
      </c>
      <c r="T30" s="1" t="s">
        <v>53</v>
      </c>
      <c r="U30" s="1" t="s">
        <v>94</v>
      </c>
      <c r="V30" s="12" t="s">
        <v>329</v>
      </c>
      <c r="W30" s="6" t="s">
        <v>273</v>
      </c>
      <c r="X30" s="6" t="b">
        <v>0</v>
      </c>
      <c r="Y30" s="6" t="s">
        <v>282</v>
      </c>
      <c r="Z30" s="6" t="s">
        <v>308</v>
      </c>
      <c r="AA30" s="6" t="s">
        <v>285</v>
      </c>
      <c r="AB30" s="7">
        <v>46265</v>
      </c>
      <c r="AC30" s="6" t="s">
        <v>309</v>
      </c>
    </row>
    <row r="31" spans="1:29" ht="192" x14ac:dyDescent="0.2">
      <c r="A31" s="1" t="s">
        <v>203</v>
      </c>
      <c r="B31" s="1" t="s">
        <v>130</v>
      </c>
      <c r="C31" s="1" t="s">
        <v>212</v>
      </c>
      <c r="D31" s="1" t="s">
        <v>62</v>
      </c>
      <c r="E31" s="1" t="s">
        <v>213</v>
      </c>
      <c r="F31" s="1" t="s">
        <v>88</v>
      </c>
      <c r="G31" s="1" t="s">
        <v>343</v>
      </c>
      <c r="H31" s="1" t="s">
        <v>214</v>
      </c>
      <c r="I31" s="1" t="s">
        <v>136</v>
      </c>
      <c r="J31" s="1" t="s">
        <v>137</v>
      </c>
      <c r="K31" s="1" t="s">
        <v>50</v>
      </c>
      <c r="L31" s="1" t="s">
        <v>51</v>
      </c>
      <c r="M31" s="1">
        <v>2018</v>
      </c>
      <c r="N31" s="1">
        <v>2018</v>
      </c>
      <c r="O31" s="1">
        <v>1</v>
      </c>
      <c r="P31" s="1" t="s">
        <v>215</v>
      </c>
      <c r="Q31" s="1">
        <v>1</v>
      </c>
      <c r="R31" s="1" t="b">
        <v>0</v>
      </c>
      <c r="S31" s="1" t="b">
        <v>0</v>
      </c>
      <c r="T31" s="1" t="s">
        <v>53</v>
      </c>
      <c r="U31" s="1" t="s">
        <v>94</v>
      </c>
      <c r="V31" s="6" t="s">
        <v>324</v>
      </c>
      <c r="W31" s="6" t="s">
        <v>273</v>
      </c>
      <c r="X31" s="6" t="b">
        <v>1</v>
      </c>
      <c r="Y31" s="6" t="s">
        <v>281</v>
      </c>
      <c r="Z31" s="6" t="s">
        <v>299</v>
      </c>
      <c r="AA31" s="6" t="s">
        <v>285</v>
      </c>
      <c r="AB31" s="7">
        <v>46265</v>
      </c>
      <c r="AC31" s="6" t="s">
        <v>344</v>
      </c>
    </row>
    <row r="32" spans="1:29" ht="192" x14ac:dyDescent="0.2">
      <c r="A32" s="1" t="s">
        <v>203</v>
      </c>
      <c r="B32" s="1" t="s">
        <v>130</v>
      </c>
      <c r="C32" s="1" t="s">
        <v>216</v>
      </c>
      <c r="D32" s="1" t="s">
        <v>43</v>
      </c>
      <c r="E32" s="1" t="s">
        <v>217</v>
      </c>
      <c r="F32" s="1" t="s">
        <v>97</v>
      </c>
      <c r="G32" s="1" t="s">
        <v>345</v>
      </c>
      <c r="H32" s="1" t="s">
        <v>218</v>
      </c>
      <c r="I32" s="1" t="s">
        <v>136</v>
      </c>
      <c r="J32" s="1" t="s">
        <v>137</v>
      </c>
      <c r="K32" s="1" t="s">
        <v>50</v>
      </c>
      <c r="L32" s="1" t="s">
        <v>51</v>
      </c>
      <c r="M32" s="1">
        <v>2018</v>
      </c>
      <c r="N32" s="1">
        <v>2018</v>
      </c>
      <c r="O32" s="1">
        <v>1</v>
      </c>
      <c r="P32" s="1" t="s">
        <v>219</v>
      </c>
      <c r="Q32" s="1">
        <v>1</v>
      </c>
      <c r="R32" s="1" t="b">
        <v>0</v>
      </c>
      <c r="S32" s="1" t="b">
        <v>0</v>
      </c>
      <c r="T32" s="1" t="s">
        <v>53</v>
      </c>
      <c r="U32" s="1" t="s">
        <v>94</v>
      </c>
      <c r="V32" s="6" t="s">
        <v>324</v>
      </c>
      <c r="W32" s="6" t="s">
        <v>273</v>
      </c>
      <c r="X32" s="6" t="b">
        <v>1</v>
      </c>
      <c r="Y32" s="6" t="s">
        <v>281</v>
      </c>
      <c r="Z32" s="6" t="s">
        <v>299</v>
      </c>
      <c r="AA32" s="6" t="s">
        <v>285</v>
      </c>
      <c r="AB32" s="7">
        <v>46265</v>
      </c>
      <c r="AC32" s="6" t="s">
        <v>346</v>
      </c>
    </row>
    <row r="33" spans="1:29" ht="96" x14ac:dyDescent="0.2">
      <c r="A33" s="1" t="s">
        <v>203</v>
      </c>
      <c r="B33" s="1" t="s">
        <v>220</v>
      </c>
      <c r="C33" s="1" t="s">
        <v>221</v>
      </c>
      <c r="D33" s="1" t="s">
        <v>62</v>
      </c>
      <c r="E33" s="1" t="s">
        <v>222</v>
      </c>
      <c r="F33" s="1" t="s">
        <v>88</v>
      </c>
      <c r="G33" s="1" t="s">
        <v>223</v>
      </c>
      <c r="H33" s="1" t="s">
        <v>224</v>
      </c>
      <c r="I33" s="1" t="s">
        <v>225</v>
      </c>
      <c r="J33" s="1" t="s">
        <v>161</v>
      </c>
      <c r="K33" s="1" t="s">
        <v>50</v>
      </c>
      <c r="L33" s="1" t="s">
        <v>122</v>
      </c>
      <c r="M33" s="1">
        <v>1989</v>
      </c>
      <c r="N33" s="1">
        <v>1993</v>
      </c>
      <c r="O33" s="1">
        <v>5</v>
      </c>
      <c r="P33" s="1" t="s">
        <v>226</v>
      </c>
      <c r="Q33" s="1">
        <v>1</v>
      </c>
      <c r="R33" s="1" t="b">
        <v>0</v>
      </c>
      <c r="S33" s="1" t="b">
        <v>0</v>
      </c>
      <c r="T33" s="1" t="s">
        <v>53</v>
      </c>
      <c r="U33" s="1" t="s">
        <v>94</v>
      </c>
      <c r="V33" s="12" t="s">
        <v>330</v>
      </c>
      <c r="W33" s="6" t="s">
        <v>273</v>
      </c>
      <c r="X33" s="6" t="b">
        <v>1</v>
      </c>
      <c r="Y33" s="6" t="s">
        <v>281</v>
      </c>
      <c r="Z33" s="6" t="s">
        <v>311</v>
      </c>
      <c r="AA33" s="6" t="s">
        <v>285</v>
      </c>
      <c r="AB33" s="7">
        <v>46265</v>
      </c>
      <c r="AC33" s="6" t="s">
        <v>310</v>
      </c>
    </row>
    <row r="34" spans="1:29" ht="160" x14ac:dyDescent="0.2">
      <c r="A34" s="1" t="s">
        <v>203</v>
      </c>
      <c r="B34" s="1" t="s">
        <v>154</v>
      </c>
      <c r="C34" s="1" t="s">
        <v>227</v>
      </c>
      <c r="D34" s="1" t="s">
        <v>62</v>
      </c>
      <c r="E34" s="1" t="s">
        <v>228</v>
      </c>
      <c r="F34" s="1" t="s">
        <v>88</v>
      </c>
      <c r="G34" s="1" t="s">
        <v>229</v>
      </c>
      <c r="H34" s="1" t="s">
        <v>230</v>
      </c>
      <c r="I34" s="1" t="s">
        <v>160</v>
      </c>
      <c r="J34" s="1" t="s">
        <v>161</v>
      </c>
      <c r="K34" s="1" t="s">
        <v>50</v>
      </c>
      <c r="L34" s="1" t="s">
        <v>122</v>
      </c>
      <c r="M34" s="1">
        <v>1989</v>
      </c>
      <c r="N34" s="1">
        <v>1993</v>
      </c>
      <c r="O34" s="1">
        <v>3</v>
      </c>
      <c r="P34" s="1" t="s">
        <v>231</v>
      </c>
      <c r="Q34" s="1">
        <v>1</v>
      </c>
      <c r="R34" s="1" t="b">
        <v>0</v>
      </c>
      <c r="S34" s="1" t="b">
        <v>0</v>
      </c>
      <c r="T34" s="1" t="s">
        <v>53</v>
      </c>
      <c r="U34" s="1" t="s">
        <v>94</v>
      </c>
      <c r="V34" s="6" t="s">
        <v>326</v>
      </c>
      <c r="W34" s="6" t="s">
        <v>274</v>
      </c>
      <c r="X34" s="6" t="b">
        <v>1</v>
      </c>
      <c r="Y34" s="6" t="s">
        <v>281</v>
      </c>
      <c r="Z34" s="6" t="s">
        <v>302</v>
      </c>
      <c r="AA34" s="6" t="s">
        <v>285</v>
      </c>
      <c r="AB34" s="7">
        <v>46265</v>
      </c>
      <c r="AC34" s="6" t="s">
        <v>303</v>
      </c>
    </row>
    <row r="35" spans="1:29" ht="160" x14ac:dyDescent="0.2">
      <c r="A35" s="1" t="s">
        <v>203</v>
      </c>
      <c r="B35" s="1" t="s">
        <v>154</v>
      </c>
      <c r="C35" s="1" t="s">
        <v>232</v>
      </c>
      <c r="D35" s="1" t="s">
        <v>43</v>
      </c>
      <c r="E35" s="1" t="s">
        <v>233</v>
      </c>
      <c r="F35" s="1" t="s">
        <v>97</v>
      </c>
      <c r="G35" s="1" t="s">
        <v>234</v>
      </c>
      <c r="H35" s="1" t="s">
        <v>235</v>
      </c>
      <c r="I35" s="1" t="s">
        <v>160</v>
      </c>
      <c r="J35" s="1" t="s">
        <v>161</v>
      </c>
      <c r="K35" s="1" t="s">
        <v>50</v>
      </c>
      <c r="L35" s="1" t="s">
        <v>122</v>
      </c>
      <c r="M35" s="1">
        <v>1989</v>
      </c>
      <c r="N35" s="1">
        <v>1993</v>
      </c>
      <c r="O35" s="1">
        <v>3</v>
      </c>
      <c r="P35" s="1" t="s">
        <v>236</v>
      </c>
      <c r="Q35" s="1">
        <v>1</v>
      </c>
      <c r="R35" s="1" t="b">
        <v>0</v>
      </c>
      <c r="S35" s="1" t="b">
        <v>0</v>
      </c>
      <c r="T35" s="1" t="s">
        <v>53</v>
      </c>
      <c r="U35" s="1" t="s">
        <v>94</v>
      </c>
      <c r="V35" s="6" t="s">
        <v>326</v>
      </c>
      <c r="W35" s="6" t="s">
        <v>274</v>
      </c>
      <c r="X35" s="6" t="b">
        <v>1</v>
      </c>
      <c r="Y35" s="6" t="s">
        <v>281</v>
      </c>
      <c r="Z35" s="6" t="s">
        <v>302</v>
      </c>
      <c r="AA35" s="6" t="s">
        <v>285</v>
      </c>
      <c r="AB35" s="7">
        <v>46265</v>
      </c>
      <c r="AC35" s="6" t="s">
        <v>303</v>
      </c>
    </row>
    <row r="36" spans="1:29" ht="112" x14ac:dyDescent="0.2">
      <c r="A36" s="1" t="s">
        <v>203</v>
      </c>
      <c r="B36" s="1" t="s">
        <v>237</v>
      </c>
      <c r="C36" s="1" t="s">
        <v>238</v>
      </c>
      <c r="D36" s="1" t="s">
        <v>62</v>
      </c>
      <c r="E36" s="1" t="s">
        <v>239</v>
      </c>
      <c r="F36" s="1" t="s">
        <v>88</v>
      </c>
      <c r="G36" s="1" t="s">
        <v>240</v>
      </c>
      <c r="H36" s="1" t="s">
        <v>241</v>
      </c>
      <c r="I36" s="1" t="s">
        <v>242</v>
      </c>
      <c r="J36" s="1" t="s">
        <v>243</v>
      </c>
      <c r="K36" s="1" t="s">
        <v>50</v>
      </c>
      <c r="L36" s="1" t="s">
        <v>122</v>
      </c>
      <c r="M36" s="1">
        <v>1978</v>
      </c>
      <c r="N36" s="1">
        <v>1979</v>
      </c>
      <c r="O36" s="1">
        <v>2</v>
      </c>
      <c r="P36" s="1" t="s">
        <v>244</v>
      </c>
      <c r="Q36" s="1">
        <v>1</v>
      </c>
      <c r="R36" s="1" t="b">
        <v>0</v>
      </c>
      <c r="S36" s="1" t="b">
        <v>0</v>
      </c>
      <c r="T36" s="1" t="s">
        <v>53</v>
      </c>
      <c r="U36" s="1" t="s">
        <v>94</v>
      </c>
      <c r="V36" s="12" t="s">
        <v>331</v>
      </c>
      <c r="W36" s="6" t="s">
        <v>273</v>
      </c>
      <c r="X36" s="6" t="b">
        <v>0</v>
      </c>
      <c r="Y36" s="6" t="s">
        <v>282</v>
      </c>
      <c r="Z36" s="6" t="s">
        <v>312</v>
      </c>
      <c r="AA36" s="6" t="s">
        <v>285</v>
      </c>
      <c r="AB36" s="7">
        <v>46265</v>
      </c>
      <c r="AC36" s="6" t="s">
        <v>315</v>
      </c>
    </row>
    <row r="37" spans="1:29" ht="128" x14ac:dyDescent="0.2">
      <c r="A37" s="1" t="s">
        <v>203</v>
      </c>
      <c r="B37" s="1" t="s">
        <v>245</v>
      </c>
      <c r="C37" s="1" t="s">
        <v>246</v>
      </c>
      <c r="D37" s="1" t="s">
        <v>62</v>
      </c>
      <c r="E37" s="1" t="s">
        <v>247</v>
      </c>
      <c r="F37" s="1" t="s">
        <v>88</v>
      </c>
      <c r="G37" s="1" t="s">
        <v>248</v>
      </c>
      <c r="H37" s="1" t="s">
        <v>249</v>
      </c>
      <c r="I37" s="1" t="s">
        <v>250</v>
      </c>
      <c r="J37" s="1" t="s">
        <v>251</v>
      </c>
      <c r="K37" s="1" t="s">
        <v>50</v>
      </c>
      <c r="L37" s="1" t="s">
        <v>122</v>
      </c>
      <c r="M37" s="1">
        <v>1970</v>
      </c>
      <c r="N37" s="1">
        <v>1972</v>
      </c>
      <c r="O37" s="1">
        <v>3</v>
      </c>
      <c r="P37" s="1" t="s">
        <v>252</v>
      </c>
      <c r="Q37" s="1">
        <v>1</v>
      </c>
      <c r="R37" s="1" t="b">
        <v>0</v>
      </c>
      <c r="S37" s="1" t="b">
        <v>0</v>
      </c>
      <c r="T37" s="1" t="s">
        <v>53</v>
      </c>
      <c r="U37" s="1" t="s">
        <v>94</v>
      </c>
      <c r="V37" s="12" t="s">
        <v>332</v>
      </c>
      <c r="W37" s="6" t="s">
        <v>273</v>
      </c>
      <c r="X37" s="6" t="b">
        <v>0</v>
      </c>
      <c r="Y37" s="6" t="s">
        <v>282</v>
      </c>
      <c r="Z37" s="6" t="s">
        <v>313</v>
      </c>
      <c r="AA37" s="6" t="s">
        <v>285</v>
      </c>
      <c r="AB37" s="7">
        <v>46265</v>
      </c>
      <c r="AC37" s="6" t="s">
        <v>314</v>
      </c>
    </row>
  </sheetData>
  <dataValidations count="3">
    <dataValidation type="list" allowBlank="1" showInputMessage="1" showErrorMessage="1" sqref="W2:W37" xr:uid="{00000000-0002-0000-0100-000000000000}">
      <formula1>"designated_one_to_one,designated_shared_reference,composite_reference,regional_reference,automatic_cross_product,unclear"</formula1>
    </dataValidation>
    <dataValidation type="list" allowBlank="1" showInputMessage="1" showErrorMessage="1" sqref="X2:X37" xr:uid="{00000000-0002-0000-0100-000001000000}">
      <formula1>"TRUE,FALSE"</formula1>
    </dataValidation>
    <dataValidation type="list" allowBlank="1" showInputMessage="1" showErrorMessage="1" sqref="Y2:Y37" xr:uid="{00000000-0002-0000-0100-000002000000}">
      <formula1>"pending_author_review,approved,excluded,needs_source_check,needs_team_decision"</formula1>
    </dataValidation>
  </dataValidation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showGridLines="0" zoomScale="90" workbookViewId="0">
      <pane xSplit="1" ySplit="1" topLeftCell="B2" activePane="bottomRight" state="frozen"/>
      <selection pane="topRight"/>
      <selection pane="bottomLeft"/>
      <selection pane="bottomRight"/>
    </sheetView>
  </sheetViews>
  <sheetFormatPr baseColWidth="10" defaultRowHeight="15" x14ac:dyDescent="0.2"/>
  <cols>
    <col min="1" max="1" width="28.6640625" customWidth="1"/>
    <col min="2" max="2" width="30.6640625" customWidth="1"/>
    <col min="3" max="3" width="18.6640625" customWidth="1"/>
    <col min="4" max="4" width="16.6640625" customWidth="1"/>
    <col min="5" max="5" width="22.6640625" customWidth="1"/>
    <col min="6" max="6" width="18.6640625" customWidth="1"/>
    <col min="7" max="7" width="25.6640625" customWidth="1"/>
    <col min="8" max="9" width="40.6640625" customWidth="1"/>
  </cols>
  <sheetData>
    <row r="1" spans="1:9" x14ac:dyDescent="0.2">
      <c r="A1" t="s">
        <v>12</v>
      </c>
      <c r="B1" t="s">
        <v>19</v>
      </c>
      <c r="C1" t="s">
        <v>20</v>
      </c>
      <c r="D1" t="s">
        <v>253</v>
      </c>
      <c r="E1" t="s">
        <v>254</v>
      </c>
      <c r="F1" t="s">
        <v>29</v>
      </c>
      <c r="G1" t="s">
        <v>22</v>
      </c>
      <c r="H1" t="s">
        <v>255</v>
      </c>
      <c r="I1" t="s">
        <v>256</v>
      </c>
    </row>
    <row r="2" spans="1:9" ht="16" x14ac:dyDescent="0.2">
      <c r="A2" s="1" t="s">
        <v>41</v>
      </c>
      <c r="B2" s="1" t="s">
        <v>48</v>
      </c>
      <c r="C2" s="1" t="s">
        <v>49</v>
      </c>
      <c r="D2" s="1">
        <v>3</v>
      </c>
      <c r="E2" s="1">
        <v>2</v>
      </c>
      <c r="F2" s="1" t="b">
        <v>1</v>
      </c>
      <c r="G2" s="1" t="s">
        <v>51</v>
      </c>
      <c r="H2" s="1" t="s">
        <v>257</v>
      </c>
      <c r="I2" s="1" t="s">
        <v>258</v>
      </c>
    </row>
    <row r="3" spans="1:9" ht="80" x14ac:dyDescent="0.2">
      <c r="A3" s="1" t="s">
        <v>60</v>
      </c>
      <c r="B3" s="1" t="s">
        <v>67</v>
      </c>
      <c r="C3" s="1" t="s">
        <v>68</v>
      </c>
      <c r="D3" s="1">
        <v>2</v>
      </c>
      <c r="E3" s="1">
        <v>2</v>
      </c>
      <c r="F3" s="1" t="b">
        <v>1</v>
      </c>
      <c r="G3" s="1" t="s">
        <v>51</v>
      </c>
      <c r="H3" s="1" t="s">
        <v>259</v>
      </c>
      <c r="I3" s="1" t="s">
        <v>65</v>
      </c>
    </row>
    <row r="4" spans="1:9" ht="16" x14ac:dyDescent="0.2">
      <c r="A4" s="1" t="s">
        <v>73</v>
      </c>
      <c r="B4" s="1" t="s">
        <v>78</v>
      </c>
      <c r="C4" s="1" t="s">
        <v>79</v>
      </c>
      <c r="D4" s="1">
        <v>2</v>
      </c>
      <c r="E4" s="1">
        <v>2</v>
      </c>
      <c r="F4" s="1" t="b">
        <v>1</v>
      </c>
      <c r="G4" s="1" t="s">
        <v>51</v>
      </c>
      <c r="H4" s="1" t="s">
        <v>260</v>
      </c>
      <c r="I4" s="1" t="s">
        <v>76</v>
      </c>
    </row>
    <row r="5" spans="1:9" ht="16" x14ac:dyDescent="0.2">
      <c r="A5" s="1" t="s">
        <v>85</v>
      </c>
      <c r="B5" s="1" t="s">
        <v>91</v>
      </c>
      <c r="C5" s="1" t="s">
        <v>92</v>
      </c>
      <c r="D5" s="1">
        <v>2</v>
      </c>
      <c r="E5" s="1">
        <v>0</v>
      </c>
      <c r="F5" s="1" t="b">
        <v>1</v>
      </c>
      <c r="G5" s="1" t="s">
        <v>51</v>
      </c>
      <c r="H5" s="1" t="s">
        <v>261</v>
      </c>
      <c r="I5" s="1" t="s">
        <v>262</v>
      </c>
    </row>
    <row r="6" spans="1:9" ht="16" x14ac:dyDescent="0.2">
      <c r="A6" s="1" t="s">
        <v>101</v>
      </c>
      <c r="B6" s="1" t="s">
        <v>106</v>
      </c>
      <c r="C6" s="1" t="s">
        <v>107</v>
      </c>
      <c r="D6" s="1">
        <v>1</v>
      </c>
      <c r="E6" s="1">
        <v>0</v>
      </c>
      <c r="F6" s="1" t="b">
        <v>1</v>
      </c>
      <c r="G6" s="1" t="s">
        <v>51</v>
      </c>
      <c r="H6" s="1" t="s">
        <v>103</v>
      </c>
      <c r="I6" s="1" t="s">
        <v>104</v>
      </c>
    </row>
    <row r="7" spans="1:9" ht="16" x14ac:dyDescent="0.2">
      <c r="A7" s="1" t="s">
        <v>114</v>
      </c>
      <c r="B7" s="1" t="s">
        <v>120</v>
      </c>
      <c r="C7" s="1" t="s">
        <v>121</v>
      </c>
      <c r="D7" s="1">
        <v>3</v>
      </c>
      <c r="E7" s="1">
        <v>3</v>
      </c>
      <c r="F7" s="1" t="b">
        <v>0</v>
      </c>
      <c r="G7" s="1" t="s">
        <v>122</v>
      </c>
      <c r="H7" s="1" t="s">
        <v>263</v>
      </c>
      <c r="I7" s="1" t="s">
        <v>118</v>
      </c>
    </row>
    <row r="8" spans="1:9" ht="32" x14ac:dyDescent="0.2">
      <c r="A8" s="1" t="s">
        <v>154</v>
      </c>
      <c r="B8" s="1" t="s">
        <v>160</v>
      </c>
      <c r="C8" s="1" t="s">
        <v>161</v>
      </c>
      <c r="D8" s="1">
        <v>5</v>
      </c>
      <c r="E8" s="1">
        <v>3</v>
      </c>
      <c r="F8" s="1" t="b">
        <v>0</v>
      </c>
      <c r="G8" s="1" t="s">
        <v>122</v>
      </c>
      <c r="H8" s="1" t="s">
        <v>264</v>
      </c>
      <c r="I8" s="1" t="s">
        <v>265</v>
      </c>
    </row>
    <row r="9" spans="1:9" ht="16" x14ac:dyDescent="0.2">
      <c r="A9" s="1" t="s">
        <v>170</v>
      </c>
      <c r="B9" s="1" t="s">
        <v>175</v>
      </c>
      <c r="C9" s="1" t="s">
        <v>176</v>
      </c>
      <c r="D9" s="1">
        <v>3</v>
      </c>
      <c r="E9" s="1">
        <v>3</v>
      </c>
      <c r="F9" s="1" t="b">
        <v>0</v>
      </c>
      <c r="G9" s="1" t="s">
        <v>51</v>
      </c>
      <c r="H9" s="1" t="s">
        <v>266</v>
      </c>
      <c r="I9" s="1" t="s">
        <v>173</v>
      </c>
    </row>
    <row r="10" spans="1:9" ht="16" x14ac:dyDescent="0.2">
      <c r="A10" s="1" t="s">
        <v>184</v>
      </c>
      <c r="B10" s="1" t="s">
        <v>187</v>
      </c>
      <c r="C10" s="1" t="s">
        <v>188</v>
      </c>
      <c r="D10" s="1">
        <v>3</v>
      </c>
      <c r="E10" s="1">
        <v>3</v>
      </c>
      <c r="F10" s="1" t="b">
        <v>0</v>
      </c>
      <c r="G10" s="1" t="s">
        <v>122</v>
      </c>
      <c r="H10" s="1" t="s">
        <v>267</v>
      </c>
      <c r="I10" s="1" t="s">
        <v>62</v>
      </c>
    </row>
    <row r="11" spans="1:9" ht="32" x14ac:dyDescent="0.2">
      <c r="A11" s="1" t="s">
        <v>130</v>
      </c>
      <c r="B11" s="1" t="s">
        <v>136</v>
      </c>
      <c r="C11" s="1" t="s">
        <v>137</v>
      </c>
      <c r="D11" s="1">
        <v>4</v>
      </c>
      <c r="E11" s="1">
        <v>2</v>
      </c>
      <c r="F11" s="1" t="b">
        <v>0</v>
      </c>
      <c r="G11" s="1" t="s">
        <v>51</v>
      </c>
      <c r="H11" s="1" t="s">
        <v>268</v>
      </c>
      <c r="I11" s="1" t="s">
        <v>269</v>
      </c>
    </row>
    <row r="12" spans="1:9" ht="16" x14ac:dyDescent="0.2">
      <c r="A12" s="1" t="s">
        <v>143</v>
      </c>
      <c r="B12" s="1" t="s">
        <v>148</v>
      </c>
      <c r="C12" s="1" t="s">
        <v>149</v>
      </c>
      <c r="D12" s="1">
        <v>2</v>
      </c>
      <c r="E12" s="1">
        <v>2</v>
      </c>
      <c r="F12" s="1" t="b">
        <v>0</v>
      </c>
      <c r="G12" s="1" t="s">
        <v>122</v>
      </c>
      <c r="H12" s="1" t="s">
        <v>270</v>
      </c>
      <c r="I12" s="1" t="s">
        <v>146</v>
      </c>
    </row>
    <row r="13" spans="1:9" ht="16" x14ac:dyDescent="0.2">
      <c r="A13" s="1" t="s">
        <v>194</v>
      </c>
      <c r="B13" s="1" t="s">
        <v>197</v>
      </c>
      <c r="C13" s="1" t="s">
        <v>198</v>
      </c>
      <c r="D13" s="1">
        <v>2</v>
      </c>
      <c r="E13" s="1">
        <v>2</v>
      </c>
      <c r="F13" s="1" t="b">
        <v>0</v>
      </c>
      <c r="G13" s="1" t="s">
        <v>199</v>
      </c>
      <c r="H13" s="1" t="s">
        <v>260</v>
      </c>
      <c r="I13" s="1" t="s">
        <v>76</v>
      </c>
    </row>
    <row r="14" spans="1:9" ht="16" x14ac:dyDescent="0.2">
      <c r="A14" s="1" t="s">
        <v>204</v>
      </c>
      <c r="B14" s="1" t="s">
        <v>209</v>
      </c>
      <c r="C14" s="1" t="s">
        <v>210</v>
      </c>
      <c r="D14" s="1">
        <v>1</v>
      </c>
      <c r="E14" s="1">
        <v>0</v>
      </c>
      <c r="F14" s="1" t="b">
        <v>0</v>
      </c>
      <c r="G14" s="1" t="s">
        <v>199</v>
      </c>
      <c r="H14" s="1" t="s">
        <v>206</v>
      </c>
      <c r="I14" s="1" t="s">
        <v>207</v>
      </c>
    </row>
    <row r="15" spans="1:9" ht="16" x14ac:dyDescent="0.2">
      <c r="A15" s="1" t="s">
        <v>220</v>
      </c>
      <c r="B15" s="1" t="s">
        <v>225</v>
      </c>
      <c r="C15" s="1" t="s">
        <v>161</v>
      </c>
      <c r="D15" s="1">
        <v>1</v>
      </c>
      <c r="E15" s="1">
        <v>0</v>
      </c>
      <c r="F15" s="1" t="b">
        <v>0</v>
      </c>
      <c r="G15" s="1" t="s">
        <v>122</v>
      </c>
      <c r="H15" s="1" t="s">
        <v>222</v>
      </c>
      <c r="I15" s="1" t="s">
        <v>223</v>
      </c>
    </row>
    <row r="16" spans="1:9" ht="16" x14ac:dyDescent="0.2">
      <c r="A16" s="1" t="s">
        <v>237</v>
      </c>
      <c r="B16" s="1" t="s">
        <v>242</v>
      </c>
      <c r="C16" s="1" t="s">
        <v>243</v>
      </c>
      <c r="D16" s="1">
        <v>1</v>
      </c>
      <c r="E16" s="1">
        <v>0</v>
      </c>
      <c r="F16" s="1" t="b">
        <v>0</v>
      </c>
      <c r="G16" s="1" t="s">
        <v>122</v>
      </c>
      <c r="H16" s="1" t="s">
        <v>239</v>
      </c>
      <c r="I16" s="1" t="s">
        <v>240</v>
      </c>
    </row>
    <row r="17" spans="1:9" ht="16" x14ac:dyDescent="0.2">
      <c r="A17" s="1" t="s">
        <v>245</v>
      </c>
      <c r="B17" s="1" t="s">
        <v>250</v>
      </c>
      <c r="C17" s="1" t="s">
        <v>251</v>
      </c>
      <c r="D17" s="1">
        <v>1</v>
      </c>
      <c r="E17" s="1">
        <v>0</v>
      </c>
      <c r="F17" s="1" t="b">
        <v>0</v>
      </c>
      <c r="G17" s="1" t="s">
        <v>122</v>
      </c>
      <c r="H17" s="1" t="s">
        <v>247</v>
      </c>
      <c r="I17" s="1" t="s">
        <v>248</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showGridLines="0" workbookViewId="0"/>
  </sheetViews>
  <sheetFormatPr baseColWidth="10" defaultRowHeight="15" x14ac:dyDescent="0.2"/>
  <cols>
    <col min="1" max="1" width="28.6640625" customWidth="1"/>
    <col min="2" max="2" width="42.6640625" customWidth="1"/>
  </cols>
  <sheetData>
    <row r="1" spans="1:2" x14ac:dyDescent="0.2">
      <c r="A1" t="s">
        <v>271</v>
      </c>
      <c r="B1" t="s">
        <v>272</v>
      </c>
    </row>
    <row r="2" spans="1:2" x14ac:dyDescent="0.2">
      <c r="A2" t="s">
        <v>33</v>
      </c>
      <c r="B2" t="s">
        <v>273</v>
      </c>
    </row>
    <row r="3" spans="1:2" x14ac:dyDescent="0.2">
      <c r="A3" t="s">
        <v>33</v>
      </c>
      <c r="B3" t="s">
        <v>274</v>
      </c>
    </row>
    <row r="4" spans="1:2" x14ac:dyDescent="0.2">
      <c r="A4" t="s">
        <v>33</v>
      </c>
      <c r="B4" t="s">
        <v>275</v>
      </c>
    </row>
    <row r="5" spans="1:2" x14ac:dyDescent="0.2">
      <c r="A5" t="s">
        <v>33</v>
      </c>
      <c r="B5" t="s">
        <v>276</v>
      </c>
    </row>
    <row r="6" spans="1:2" x14ac:dyDescent="0.2">
      <c r="A6" t="s">
        <v>33</v>
      </c>
      <c r="B6" t="s">
        <v>277</v>
      </c>
    </row>
    <row r="7" spans="1:2" x14ac:dyDescent="0.2">
      <c r="A7" t="s">
        <v>33</v>
      </c>
      <c r="B7" t="s">
        <v>278</v>
      </c>
    </row>
    <row r="8" spans="1:2" x14ac:dyDescent="0.2">
      <c r="A8" t="s">
        <v>34</v>
      </c>
      <c r="B8" t="s">
        <v>279</v>
      </c>
    </row>
    <row r="9" spans="1:2" x14ac:dyDescent="0.2">
      <c r="A9" t="s">
        <v>34</v>
      </c>
      <c r="B9" t="s">
        <v>280</v>
      </c>
    </row>
    <row r="10" spans="1:2" x14ac:dyDescent="0.2">
      <c r="A10" t="s">
        <v>35</v>
      </c>
      <c r="B10" t="s">
        <v>55</v>
      </c>
    </row>
    <row r="11" spans="1:2" x14ac:dyDescent="0.2">
      <c r="A11" t="s">
        <v>35</v>
      </c>
      <c r="B11" t="s">
        <v>281</v>
      </c>
    </row>
    <row r="12" spans="1:2" x14ac:dyDescent="0.2">
      <c r="A12" t="s">
        <v>35</v>
      </c>
      <c r="B12" t="s">
        <v>282</v>
      </c>
    </row>
    <row r="13" spans="1:2" x14ac:dyDescent="0.2">
      <c r="A13" t="s">
        <v>35</v>
      </c>
      <c r="B13" t="s">
        <v>283</v>
      </c>
    </row>
    <row r="14" spans="1:2" x14ac:dyDescent="0.2">
      <c r="A14" t="s">
        <v>35</v>
      </c>
      <c r="B14" t="s">
        <v>284</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Pairing Review</vt:lpstr>
      <vt:lpstr>Study Summary</vt:lpstr>
      <vt:lpstr>Controlled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 workflow</dc:creator>
  <cp:lastModifiedBy>Allison Myers-Pigg</cp:lastModifiedBy>
  <dcterms:created xsi:type="dcterms:W3CDTF">2026-08-20T09:05:34Z</dcterms:created>
  <dcterms:modified xsi:type="dcterms:W3CDTF">2026-09-18T23:04:43Z</dcterms:modified>
</cp:coreProperties>
</file>